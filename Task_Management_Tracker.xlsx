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ko\Desktop\"/>
    </mc:Choice>
  </mc:AlternateContent>
  <xr:revisionPtr revIDLastSave="0" documentId="8_{BF1E9B1B-26FD-47AE-9C82-BED95B9ACE51}" xr6:coauthVersionLast="47" xr6:coauthVersionMax="47" xr10:uidLastSave="{00000000-0000-0000-0000-000000000000}"/>
  <bookViews>
    <workbookView xWindow="-108" yWindow="-108" windowWidth="23256" windowHeight="12456" xr2:uid="{1A5F5666-BE82-F64F-A80E-7F153D5D7E43}"/>
  </bookViews>
  <sheets>
    <sheet name="Dashboard" sheetId="4" r:id="rId1"/>
    <sheet name="Support Sheet" sheetId="2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9" i="4" l="1"/>
  <c r="H119" i="4"/>
  <c r="J118" i="4"/>
  <c r="H118" i="4"/>
  <c r="J117" i="4"/>
  <c r="H117" i="4"/>
  <c r="J116" i="4"/>
  <c r="H116" i="4"/>
  <c r="H115" i="4"/>
  <c r="H111" i="4"/>
  <c r="H112" i="4"/>
  <c r="H113" i="4"/>
  <c r="H114" i="4"/>
  <c r="J115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I4" i="2"/>
  <c r="I5" i="2"/>
  <c r="I6" i="2"/>
  <c r="I3" i="2"/>
  <c r="F4" i="2"/>
  <c r="F5" i="2"/>
  <c r="F6" i="2"/>
  <c r="F7" i="2"/>
  <c r="F3" i="2"/>
  <c r="C4" i="2"/>
  <c r="C5" i="2"/>
  <c r="C3" i="2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C6" i="2" l="1"/>
  <c r="K3" i="2"/>
</calcChain>
</file>

<file path=xl/sharedStrings.xml><?xml version="1.0" encoding="utf-8"?>
<sst xmlns="http://schemas.openxmlformats.org/spreadsheetml/2006/main" count="660" uniqueCount="333">
  <si>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</si>
  <si>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</si>
  <si>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</si>
  <si>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</si>
  <si>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</si>
  <si>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</si>
  <si>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</si>
  <si>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</si>
  <si>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</si>
  <si>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</si>
  <si>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</si>
  <si>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</si>
  <si>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</si>
  <si>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</si>
  <si>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</si>
  <si>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</si>
  <si>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</si>
  <si>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</si>
  <si>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</si>
  <si>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</si>
  <si>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</si>
  <si>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</si>
  <si>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</si>
  <si>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</si>
  <si>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</si>
  <si>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</si>
  <si>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</si>
  <si>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</si>
  <si>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</si>
  <si>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</si>
  <si>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</si>
  <si>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</si>
  <si>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</si>
  <si>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</si>
  <si>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</si>
  <si>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</si>
  <si>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</si>
  <si>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</si>
  <si>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</si>
  <si>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</si>
  <si>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</si>
  <si>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</si>
  <si>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</si>
  <si>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</si>
  <si>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</si>
  <si>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</si>
  <si>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</si>
  <si>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</si>
  <si>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</si>
  <si>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</si>
  <si>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</si>
  <si>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</si>
  <si>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</si>
  <si>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</si>
  <si>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</si>
  <si>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</si>
  <si>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</si>
  <si>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</si>
  <si>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</si>
  <si>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</si>
  <si>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</si>
  <si>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</si>
  <si>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</si>
  <si>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</si>
  <si>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</si>
  <si>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</si>
  <si>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</si>
  <si>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</si>
  <si>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</si>
  <si>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</si>
  <si>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</si>
  <si>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t>T016</t>
  </si>
  <si>
    <t>Develop annual budget forecast</t>
  </si>
  <si>
    <t>Forecast assumptions under review</t>
  </si>
  <si>
    <t>T017</t>
  </si>
  <si>
    <t>Reconcile quarterly accounts</t>
  </si>
  <si>
    <t>Quarterly reconciliation completed</t>
  </si>
  <si>
    <t>T018</t>
  </si>
  <si>
    <t>Review department expenses</t>
  </si>
  <si>
    <t>Waiting for final receipts</t>
  </si>
  <si>
    <t>T019</t>
  </si>
  <si>
    <t>Prepare monthly financial report</t>
  </si>
  <si>
    <t>Scheduled for the next reporting cycle</t>
  </si>
  <si>
    <t>T020</t>
  </si>
  <si>
    <t>Review procurement spending</t>
  </si>
  <si>
    <t>Spending review signed off</t>
  </si>
  <si>
    <t>T021</t>
  </si>
  <si>
    <t>Update cash flow projections</t>
  </si>
  <si>
    <t>Updating assumptions for Q4</t>
  </si>
  <si>
    <t>T022</t>
  </si>
  <si>
    <t>Audit travel reimbursements</t>
  </si>
  <si>
    <t>Pending document collection</t>
  </si>
  <si>
    <t>T023</t>
  </si>
  <si>
    <t>Build department cost model</t>
  </si>
  <si>
    <t>Model structure drafted</t>
  </si>
  <si>
    <t>T024</t>
  </si>
  <si>
    <t>Validate invoice records</t>
  </si>
  <si>
    <t>Invoice checks completed</t>
  </si>
  <si>
    <t>T025</t>
  </si>
  <si>
    <t>Prepare tax documentation</t>
  </si>
  <si>
    <t>Documentation work not yet started</t>
  </si>
  <si>
    <t>T026</t>
  </si>
  <si>
    <t>Review investment assumptions</t>
  </si>
  <si>
    <t>Assumptions approved by management</t>
  </si>
  <si>
    <t>T027</t>
  </si>
  <si>
    <t>Automate expense summaries</t>
  </si>
  <si>
    <t>Automation logic being tested</t>
  </si>
  <si>
    <t>T028</t>
  </si>
  <si>
    <t>Review budget variances</t>
  </si>
  <si>
    <t>Variance explanations documented</t>
  </si>
  <si>
    <t>T029</t>
  </si>
  <si>
    <t>Create financial KPI definitions</t>
  </si>
  <si>
    <t>Awaiting stakeholder alignment</t>
  </si>
  <si>
    <t>T030</t>
  </si>
  <si>
    <t>Consolidate regional forecasts</t>
  </si>
  <si>
    <t>Regional submissions being consolidated</t>
  </si>
  <si>
    <t>T031</t>
  </si>
  <si>
    <t>Define strategic priorities</t>
  </si>
  <si>
    <t>Priority framework approved</t>
  </si>
  <si>
    <t>T032</t>
  </si>
  <si>
    <t>Analyze competitor positioning</t>
  </si>
  <si>
    <t>Competitor findings being reviewed</t>
  </si>
  <si>
    <t>T033</t>
  </si>
  <si>
    <t>Map customer journey stages</t>
  </si>
  <si>
    <t>Journey map shared with stakeholders</t>
  </si>
  <si>
    <t>T034</t>
  </si>
  <si>
    <t>Evaluate new market opportunities</t>
  </si>
  <si>
    <t>Research scheduled for November</t>
  </si>
  <si>
    <t>T035</t>
  </si>
  <si>
    <t>Document business processes</t>
  </si>
  <si>
    <t>Process documentation published</t>
  </si>
  <si>
    <t>T036</t>
  </si>
  <si>
    <t>Assess digital transformation options</t>
  </si>
  <si>
    <t>Options being compared</t>
  </si>
  <si>
    <t>T037</t>
  </si>
  <si>
    <t>Review operating model</t>
  </si>
  <si>
    <t>Operating model review finalized</t>
  </si>
  <si>
    <t>T038</t>
  </si>
  <si>
    <t>Prepare leadership workshop</t>
  </si>
  <si>
    <t>Workshop agenda to be prepared</t>
  </si>
  <si>
    <t>T039</t>
  </si>
  <si>
    <t>Develop strategic scorecard</t>
  </si>
  <si>
    <t>Initial scorecard drafted</t>
  </si>
  <si>
    <t>T040</t>
  </si>
  <si>
    <t>Assess supplier performance</t>
  </si>
  <si>
    <t>Supplier assessment completed</t>
  </si>
  <si>
    <t>T041</t>
  </si>
  <si>
    <t>Review service delivery model</t>
  </si>
  <si>
    <t>Delivery model options under review</t>
  </si>
  <si>
    <t>T042</t>
  </si>
  <si>
    <t>Create project prioritization matrix</t>
  </si>
  <si>
    <t>Matrix reviewed by team leads</t>
  </si>
  <si>
    <t>T043</t>
  </si>
  <si>
    <t>Analyze operational bottlenecks</t>
  </si>
  <si>
    <t>Analysis planned for next sprint</t>
  </si>
  <si>
    <t>T044</t>
  </si>
  <si>
    <t>Draft transformation roadmap</t>
  </si>
  <si>
    <t>Roadmap milestones in progress</t>
  </si>
  <si>
    <t>T045</t>
  </si>
  <si>
    <t>Coordinate employee onboarding</t>
  </si>
  <si>
    <t>Onboarding checklist completed</t>
  </si>
  <si>
    <t>T046</t>
  </si>
  <si>
    <t>Update employee handbook</t>
  </si>
  <si>
    <t>Revised handbook published</t>
  </si>
  <si>
    <t>T047</t>
  </si>
  <si>
    <t>Plan leadership training</t>
  </si>
  <si>
    <t>Training content being prepared</t>
  </si>
  <si>
    <t>T048</t>
  </si>
  <si>
    <t>Review recruitment workflow</t>
  </si>
  <si>
    <t>Workflow review scheduled</t>
  </si>
  <si>
    <t>T049</t>
  </si>
  <si>
    <t>Conduct employee engagement review</t>
  </si>
  <si>
    <t>Results shared with HR</t>
  </si>
  <si>
    <t>T050</t>
  </si>
  <si>
    <t>Organize internal knowledge sessions</t>
  </si>
  <si>
    <t>Session schedule being confirmed</t>
  </si>
  <si>
    <t>T051</t>
  </si>
  <si>
    <t>Review compensation benchmarks</t>
  </si>
  <si>
    <t>Benchmark analysis finalized</t>
  </si>
  <si>
    <t>T052</t>
  </si>
  <si>
    <t>Prepare workforce planning report</t>
  </si>
  <si>
    <t>Planning cycle not yet started</t>
  </si>
  <si>
    <t>T053</t>
  </si>
  <si>
    <t>Coordinate internship program</t>
  </si>
  <si>
    <t>Candidate pipeline being reviewed</t>
  </si>
  <si>
    <t>T054</t>
  </si>
  <si>
    <t>Refresh HR policy documentation</t>
  </si>
  <si>
    <t>Policy documents updated</t>
  </si>
  <si>
    <t>T055</t>
  </si>
  <si>
    <t>Plan annual performance cycle</t>
  </si>
  <si>
    <t>Cycle milestones being planned</t>
  </si>
  <si>
    <t>T056</t>
  </si>
  <si>
    <t>Evaluate learning platform options</t>
  </si>
  <si>
    <t>Vendor comparison not started</t>
  </si>
  <si>
    <t>T057</t>
  </si>
  <si>
    <t>Launch internal mentoring program</t>
  </si>
  <si>
    <t>Mentoring program launched</t>
  </si>
  <si>
    <t>T058</t>
  </si>
  <si>
    <t>Develop employer branding materials</t>
  </si>
  <si>
    <t>Draft materials in review</t>
  </si>
  <si>
    <t>T059</t>
  </si>
  <si>
    <t>Plan quarterly social campaign</t>
  </si>
  <si>
    <t>Campaign plan approved</t>
  </si>
  <si>
    <t>T060</t>
  </si>
  <si>
    <t>Refresh website content</t>
  </si>
  <si>
    <t>Website copy updated</t>
  </si>
  <si>
    <t>T061</t>
  </si>
  <si>
    <t>Develop email marketing sequence</t>
  </si>
  <si>
    <t>Email drafts under review</t>
  </si>
  <si>
    <t>T062</t>
  </si>
  <si>
    <t>Analyze campaign conversion rates</t>
  </si>
  <si>
    <t>Analysis planned after campaign launch</t>
  </si>
  <si>
    <t>T063</t>
  </si>
  <si>
    <t>Prepare product launch assets</t>
  </si>
  <si>
    <t>Launch assets delivered</t>
  </si>
  <si>
    <t>T064</t>
  </si>
  <si>
    <t>Coordinate customer newsletter</t>
  </si>
  <si>
    <t>Newsletter content being finalized</t>
  </si>
  <si>
    <t>T065</t>
  </si>
  <si>
    <t>Review brand guidelines</t>
  </si>
  <si>
    <t>Guidelines approved</t>
  </si>
  <si>
    <t>T066</t>
  </si>
  <si>
    <t>Plan webinar promotion</t>
  </si>
  <si>
    <t>Promotion plan not started</t>
  </si>
  <si>
    <t>T067</t>
  </si>
  <si>
    <t>Optimize landing page content</t>
  </si>
  <si>
    <t>Content experiment in progress</t>
  </si>
  <si>
    <t>T068</t>
  </si>
  <si>
    <t>Build marketing performance report</t>
  </si>
  <si>
    <t>Performance report delivered</t>
  </si>
  <si>
    <t>T069</t>
  </si>
  <si>
    <t>Coordinate partner campaign</t>
  </si>
  <si>
    <t>Partner approvals pending</t>
  </si>
  <si>
    <t>T070</t>
  </si>
  <si>
    <t>Conduct audience segmentation</t>
  </si>
  <si>
    <t>Segments validated</t>
  </si>
  <si>
    <t>T071</t>
  </si>
  <si>
    <t>Create case study content</t>
  </si>
  <si>
    <t>Customer interview to be scheduled</t>
  </si>
  <si>
    <t>T072</t>
  </si>
  <si>
    <t>Review social media analytics</t>
  </si>
  <si>
    <t>Engagement trends being analyzed</t>
  </si>
  <si>
    <t>T073</t>
  </si>
  <si>
    <t>Plan internal reporting standards</t>
  </si>
  <si>
    <t>Reporting standards documented</t>
  </si>
  <si>
    <t>T074</t>
  </si>
  <si>
    <t>Review financial control checklist</t>
  </si>
  <si>
    <t>Checklist review underway</t>
  </si>
  <si>
    <t>T075</t>
  </si>
  <si>
    <t>Prepare annual audit schedule</t>
  </si>
  <si>
    <t>Schedule to be confirmed</t>
  </si>
  <si>
    <t>T076</t>
  </si>
  <si>
    <t>Analyze pricing scenarios</t>
  </si>
  <si>
    <t>Pricing scenarios compared</t>
  </si>
  <si>
    <t>T077</t>
  </si>
  <si>
    <t>Update vendor payment tracker</t>
  </si>
  <si>
    <t>Payment tracker being updated</t>
  </si>
  <si>
    <t>T078</t>
  </si>
  <si>
    <t>Consolidate monthly reporting inputs</t>
  </si>
  <si>
    <t>Waiting for monthly inputs</t>
  </si>
  <si>
    <t>T079</t>
  </si>
  <si>
    <t>Review strategic initiative progress</t>
  </si>
  <si>
    <t>Initiative owners providing updates</t>
  </si>
  <si>
    <t>T080</t>
  </si>
  <si>
    <t>Assess customer feedback themes</t>
  </si>
  <si>
    <t>Feedback themes summarized</t>
  </si>
  <si>
    <t>T081</t>
  </si>
  <si>
    <t>Develop process improvement backlog</t>
  </si>
  <si>
    <t>Improvement opportunities prioritized</t>
  </si>
  <si>
    <t>T082</t>
  </si>
  <si>
    <t>Review technology roadmap</t>
  </si>
  <si>
    <t>Roadmap review scheduled</t>
  </si>
  <si>
    <t>T083</t>
  </si>
  <si>
    <t>Document risk mitigation actions</t>
  </si>
  <si>
    <t>Mitigation actions documented</t>
  </si>
  <si>
    <t>T084</t>
  </si>
  <si>
    <t>Prepare cross-functional project review</t>
  </si>
  <si>
    <t>Review materials being prepared</t>
  </si>
  <si>
    <t>T085</t>
  </si>
  <si>
    <t>Analyze service performance metrics</t>
  </si>
  <si>
    <t>Performance findings shared</t>
  </si>
  <si>
    <t>T086</t>
  </si>
  <si>
    <t>Coordinate policy review workshop</t>
  </si>
  <si>
    <t>Workshop participants being confirmed</t>
  </si>
  <si>
    <t>T087</t>
  </si>
  <si>
    <t>Update new starter checklist</t>
  </si>
  <si>
    <t>Checklist refreshed</t>
  </si>
  <si>
    <t>T088</t>
  </si>
  <si>
    <t>Prepare employee communications plan</t>
  </si>
  <si>
    <t>Communications plan not yet started</t>
  </si>
  <si>
    <t>T089</t>
  </si>
  <si>
    <t>Review training feedback results</t>
  </si>
  <si>
    <t>Feedback analysis underway</t>
  </si>
  <si>
    <t>T090</t>
  </si>
  <si>
    <t>Coordinate recruitment campaign</t>
  </si>
  <si>
    <t>Recruitment campaign closed</t>
  </si>
  <si>
    <t>T091</t>
  </si>
  <si>
    <t>Create onboarding survey</t>
  </si>
  <si>
    <t>Survey design pending</t>
  </si>
  <si>
    <t>T092</t>
  </si>
  <si>
    <t>Refresh employer value proposition</t>
  </si>
  <si>
    <t>Value proposition draft in review</t>
  </si>
  <si>
    <t>T093</t>
  </si>
  <si>
    <t>Prepare product messaging guide</t>
  </si>
  <si>
    <t>Messaging guide approved</t>
  </si>
  <si>
    <t>T094</t>
  </si>
  <si>
    <t>Coordinate seasonal campaign assets</t>
  </si>
  <si>
    <t>Assets in production</t>
  </si>
  <si>
    <t>T095</t>
  </si>
  <si>
    <t>Analyze paid campaign performance</t>
  </si>
  <si>
    <t>Campaign analysis delivered</t>
  </si>
  <si>
    <t>T096</t>
  </si>
  <si>
    <t>Prepare customer webinar materials</t>
  </si>
  <si>
    <t>Materials not yet prepared</t>
  </si>
  <si>
    <t>T097</t>
  </si>
  <si>
    <t>Review content calendar</t>
  </si>
  <si>
    <t>Calendar review in progress</t>
  </si>
  <si>
    <t>T098</t>
  </si>
  <si>
    <t>Develop customer retention campaign</t>
  </si>
  <si>
    <t>Retention campaign plan approved</t>
  </si>
  <si>
    <t>T099</t>
  </si>
  <si>
    <t>Prepare monthly KPI review</t>
  </si>
  <si>
    <t>KPI review scheduled</t>
  </si>
  <si>
    <t>T100</t>
  </si>
  <si>
    <t>Consolidate year-end action items</t>
  </si>
  <si>
    <t>Action items being consolidated</t>
  </si>
  <si>
    <t>Conduct interview with new users</t>
  </si>
  <si>
    <t>T101</t>
  </si>
  <si>
    <t xml:space="preserve">New features and painpoints </t>
  </si>
  <si>
    <t>T102</t>
  </si>
  <si>
    <t>T103</t>
  </si>
  <si>
    <t>T104</t>
  </si>
  <si>
    <t>T105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</si>
</sst>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&quot;Days&quot;"/>
  </numFmts>
  <fonts count="7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4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">
    <cellStyle name="Hyperlink 2" xfId="3" xr:uid="{D116B123-67C6-344C-8E97-773FA34E970D}"/>
    <cellStyle name="Normal" xfId="0" builtinId="0"/>
    <cellStyle name="Normal 2" xfId="1" xr:uid="{A1221B63-1151-9945-AD17-D34A8F7994D7}"/>
    <cellStyle name="Normal 2 2" xfId="2" xr:uid="{6371BA46-78D2-CF43-B416-26A12EFA2F80}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\ &quot;Days&quot;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7F9CC"/>
      <color rgb="FF22577A"/>
      <color rgb="FFC0E6F5"/>
      <color rgb="FF57CC99"/>
      <color rgb="FF80ED9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Tasks by Owner</a:t>
            </a:r>
          </a:p>
        </c:rich>
      </c:tx>
      <c:layout>
        <c:manualLayout>
          <c:xMode val="edge"/>
          <c:yMode val="edge"/>
          <c:x val="0.22387912397781742"/>
          <c:y val="6.0339939572213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25</c:v>
                </c:pt>
                <c:pt idx="1">
                  <c:v>21</c:v>
                </c:pt>
                <c:pt idx="2">
                  <c:v>18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2-408D-B762-6424FA464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851423487"/>
        <c:axId val="694290031"/>
      </c:barChart>
      <c:catAx>
        <c:axId val="8514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4290031"/>
        <c:crosses val="autoZero"/>
        <c:auto val="1"/>
        <c:lblAlgn val="ctr"/>
        <c:lblOffset val="100"/>
        <c:noMultiLvlLbl val="0"/>
      </c:catAx>
      <c:valAx>
        <c:axId val="69429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1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Number of Tasks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27</c:v>
                </c:pt>
                <c:pt idx="1">
                  <c:v>32</c:v>
                </c:pt>
                <c:pt idx="2">
                  <c:v>25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B-4540-9F02-162D43742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808626111"/>
        <c:axId val="694167151"/>
      </c:barChart>
      <c:catAx>
        <c:axId val="808626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4167151"/>
        <c:crosses val="autoZero"/>
        <c:auto val="1"/>
        <c:lblAlgn val="ctr"/>
        <c:lblOffset val="100"/>
        <c:noMultiLvlLbl val="0"/>
      </c:catAx>
      <c:valAx>
        <c:axId val="694167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862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Tasks by Owner</a:t>
            </a:r>
          </a:p>
        </c:rich>
      </c:tx>
      <c:layout>
        <c:manualLayout>
          <c:xMode val="edge"/>
          <c:yMode val="edge"/>
          <c:x val="0.22387915564092048"/>
          <c:y val="6.7101221929102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851423487"/>
        <c:axId val="694290031"/>
      </c:barChart>
      <c:catAx>
        <c:axId val="8514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4290031"/>
        <c:crosses val="autoZero"/>
        <c:auto val="1"/>
        <c:lblAlgn val="ctr"/>
        <c:lblOffset val="100"/>
        <c:noMultiLvlLbl val="0"/>
      </c:catAx>
      <c:valAx>
        <c:axId val="69429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1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Tasks by Owner</a:t>
            </a:r>
          </a:p>
        </c:rich>
      </c:tx>
      <c:layout>
        <c:manualLayout>
          <c:xMode val="edge"/>
          <c:yMode val="edge"/>
          <c:x val="0.22387915564092048"/>
          <c:y val="6.71012219291020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851423487"/>
        <c:axId val="694290031"/>
      </c:barChart>
      <c:catAx>
        <c:axId val="85142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94290031"/>
        <c:crosses val="autoZero"/>
        <c:auto val="1"/>
        <c:lblAlgn val="ctr"/>
        <c:lblOffset val="100"/>
        <c:noMultiLvlLbl val="0"/>
      </c:catAx>
      <c:valAx>
        <c:axId val="69429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142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226359</xdr:colOff>
      <xdr:row>0</xdr:row>
      <xdr:rowOff>87388</xdr:rowOff>
    </xdr:from>
    <xdr:to>
      <xdr:col>11</xdr:col>
      <xdr:colOff>16747</xdr:colOff>
      <xdr:row>2</xdr:row>
      <xdr:rowOff>194936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2A6CE2D2-7838-41A3-B568-DF2CD40574F2}"/>
            </a:ext>
          </a:extLst>
        </xdr:cNvPr>
        <xdr:cNvSpPr/>
      </xdr:nvSpPr>
      <xdr:spPr>
        <a:xfrm>
          <a:off x="226359" y="87388"/>
          <a:ext cx="12610410" cy="60996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2800" b="1">
              <a:solidFill>
                <a:schemeClr val="lt1"/>
              </a:solidFill>
              <a:latin typeface="+mn-lt"/>
              <a:ea typeface="+mn-ea"/>
              <a:cs typeface="+mn-cs"/>
            </a:rPr>
            <a:t>Task Management Tracker</a:t>
          </a:r>
        </a:p>
      </xdr:txBody>
    </xdr:sp>
    <xdr:clientData/>
  </xdr:twoCellAnchor>
  <xdr:twoCellAnchor>
    <xdr:from>
      <xdr:col>2</xdr:col>
      <xdr:colOff>715796</xdr:colOff>
      <xdr:row>8</xdr:row>
      <xdr:rowOff>56445</xdr:rowOff>
    </xdr:from>
    <xdr:to>
      <xdr:col>2</xdr:col>
      <xdr:colOff>1965613</xdr:colOff>
      <xdr:row>12</xdr:row>
      <xdr:rowOff>86877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E04D56B8-0E73-07C7-24C6-D33A169CD61D}"/>
            </a:ext>
          </a:extLst>
        </xdr:cNvPr>
        <xdr:cNvSpPr/>
      </xdr:nvSpPr>
      <xdr:spPr>
        <a:xfrm>
          <a:off x="1616341" y="1753627"/>
          <a:ext cx="1249817" cy="827068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1381947</xdr:colOff>
      <xdr:row>3</xdr:row>
      <xdr:rowOff>90352</xdr:rowOff>
    </xdr:from>
    <xdr:to>
      <xdr:col>11</xdr:col>
      <xdr:colOff>544</xdr:colOff>
      <xdr:row>12</xdr:row>
      <xdr:rowOff>83736</xdr:rowOff>
    </xdr:to>
    <xdr:sp macro="" textlink="">
      <xdr:nvSpPr>
        <xdr:cNvPr id="9" name="Rounded Rectangle 14">
          <a:extLst>
            <a:ext uri="{FF2B5EF4-FFF2-40B4-BE49-F238E27FC236}">
              <a16:creationId xmlns:a16="http://schemas.microsoft.com/office/drawing/2014/main" id="{D81FED64-EC0D-F135-1C57-8DA9DB5C3C1F}"/>
            </a:ext>
          </a:extLst>
        </xdr:cNvPr>
        <xdr:cNvSpPr/>
      </xdr:nvSpPr>
      <xdr:spPr>
        <a:xfrm>
          <a:off x="10899758" y="794843"/>
          <a:ext cx="2471729" cy="1804931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261296</xdr:colOff>
      <xdr:row>3</xdr:row>
      <xdr:rowOff>90352</xdr:rowOff>
    </xdr:from>
    <xdr:to>
      <xdr:col>10</xdr:col>
      <xdr:colOff>1308246</xdr:colOff>
      <xdr:row>12</xdr:row>
      <xdr:rowOff>100483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18C58480-929B-675A-7A9D-0C8C4B8801D6}"/>
            </a:ext>
          </a:extLst>
        </xdr:cNvPr>
        <xdr:cNvSpPr/>
      </xdr:nvSpPr>
      <xdr:spPr>
        <a:xfrm>
          <a:off x="7000350" y="789162"/>
          <a:ext cx="3845906" cy="1783175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715796</xdr:colOff>
      <xdr:row>3</xdr:row>
      <xdr:rowOff>98312</xdr:rowOff>
    </xdr:from>
    <xdr:to>
      <xdr:col>2</xdr:col>
      <xdr:colOff>1965613</xdr:colOff>
      <xdr:row>7</xdr:row>
      <xdr:rowOff>128744</xdr:rowOff>
    </xdr:to>
    <xdr:sp macro="" textlink="">
      <xdr:nvSpPr>
        <xdr:cNvPr id="13" name="Rounded Rectangle 14">
          <a:extLst>
            <a:ext uri="{FF2B5EF4-FFF2-40B4-BE49-F238E27FC236}">
              <a16:creationId xmlns:a16="http://schemas.microsoft.com/office/drawing/2014/main" id="{F53061BB-78C0-7FFA-409C-A218FE5DF951}"/>
            </a:ext>
          </a:extLst>
        </xdr:cNvPr>
        <xdr:cNvSpPr/>
      </xdr:nvSpPr>
      <xdr:spPr>
        <a:xfrm>
          <a:off x="1616341" y="799698"/>
          <a:ext cx="1249817" cy="827069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235930</xdr:colOff>
      <xdr:row>3</xdr:row>
      <xdr:rowOff>98312</xdr:rowOff>
    </xdr:from>
    <xdr:to>
      <xdr:col>2</xdr:col>
      <xdr:colOff>581114</xdr:colOff>
      <xdr:row>7</xdr:row>
      <xdr:rowOff>128744</xdr:rowOff>
    </xdr:to>
    <xdr:sp macro="" textlink="">
      <xdr:nvSpPr>
        <xdr:cNvPr id="14" name="Rounded Rectangle 14">
          <a:extLst>
            <a:ext uri="{FF2B5EF4-FFF2-40B4-BE49-F238E27FC236}">
              <a16:creationId xmlns:a16="http://schemas.microsoft.com/office/drawing/2014/main" id="{12BD2000-549D-1F79-9666-D2779F9FE130}"/>
            </a:ext>
          </a:extLst>
        </xdr:cNvPr>
        <xdr:cNvSpPr/>
      </xdr:nvSpPr>
      <xdr:spPr>
        <a:xfrm>
          <a:off x="235930" y="799698"/>
          <a:ext cx="1245729" cy="827069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235930</xdr:colOff>
      <xdr:row>8</xdr:row>
      <xdr:rowOff>56445</xdr:rowOff>
    </xdr:from>
    <xdr:to>
      <xdr:col>2</xdr:col>
      <xdr:colOff>581114</xdr:colOff>
      <xdr:row>12</xdr:row>
      <xdr:rowOff>86877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3754DEFF-C02A-A0CA-B35D-6ABD9A1E0DDC}"/>
            </a:ext>
          </a:extLst>
        </xdr:cNvPr>
        <xdr:cNvSpPr/>
      </xdr:nvSpPr>
      <xdr:spPr>
        <a:xfrm>
          <a:off x="235930" y="1755216"/>
          <a:ext cx="1243505" cy="82738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2165209</xdr:colOff>
      <xdr:row>3</xdr:row>
      <xdr:rowOff>83654</xdr:rowOff>
    </xdr:from>
    <xdr:to>
      <xdr:col>7</xdr:col>
      <xdr:colOff>172533</xdr:colOff>
      <xdr:row>12</xdr:row>
      <xdr:rowOff>93785</xdr:rowOff>
    </xdr:to>
    <xdr:sp macro="" textlink="">
      <xdr:nvSpPr>
        <xdr:cNvPr id="16" name="Rounded Rectangle 14">
          <a:extLst>
            <a:ext uri="{FF2B5EF4-FFF2-40B4-BE49-F238E27FC236}">
              <a16:creationId xmlns:a16="http://schemas.microsoft.com/office/drawing/2014/main" id="{DCE066DF-FF9A-2C6C-1540-02C11E18F6AE}"/>
            </a:ext>
          </a:extLst>
        </xdr:cNvPr>
        <xdr:cNvSpPr/>
      </xdr:nvSpPr>
      <xdr:spPr>
        <a:xfrm>
          <a:off x="3065754" y="790236"/>
          <a:ext cx="3840088" cy="1818149"/>
        </a:xfrm>
        <a:prstGeom prst="roundRect">
          <a:avLst>
            <a:gd name="adj" fmla="val 10985"/>
          </a:avLst>
        </a:prstGeom>
        <a:solidFill>
          <a:srgbClr val="22577A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endParaRPr lang="en-US" sz="28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241027</xdr:colOff>
      <xdr:row>3</xdr:row>
      <xdr:rowOff>164523</xdr:rowOff>
    </xdr:from>
    <xdr:to>
      <xdr:col>2</xdr:col>
      <xdr:colOff>573247</xdr:colOff>
      <xdr:row>5</xdr:row>
      <xdr:rowOff>86591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4411705-317E-1F81-5627-17EF3184A9A5}"/>
            </a:ext>
          </a:extLst>
        </xdr:cNvPr>
        <xdr:cNvSpPr txBox="1"/>
      </xdr:nvSpPr>
      <xdr:spPr>
        <a:xfrm>
          <a:off x="241027" y="867101"/>
          <a:ext cx="1230541" cy="320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bg1"/>
              </a:solidFill>
            </a:rPr>
            <a:t>Completed</a:t>
          </a:r>
          <a:endParaRPr lang="en-D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725490</xdr:colOff>
      <xdr:row>3</xdr:row>
      <xdr:rowOff>166621</xdr:rowOff>
    </xdr:from>
    <xdr:to>
      <xdr:col>2</xdr:col>
      <xdr:colOff>1956031</xdr:colOff>
      <xdr:row>5</xdr:row>
      <xdr:rowOff>88689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A0DAFD1-4F75-5A31-AB39-F2B048A294D5}"/>
            </a:ext>
          </a:extLst>
        </xdr:cNvPr>
        <xdr:cNvSpPr txBox="1"/>
      </xdr:nvSpPr>
      <xdr:spPr>
        <a:xfrm>
          <a:off x="1623811" y="869199"/>
          <a:ext cx="1230541" cy="320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bg1"/>
              </a:solidFill>
            </a:rPr>
            <a:t>In Progress</a:t>
          </a:r>
          <a:endParaRPr lang="en-D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241725</xdr:colOff>
      <xdr:row>8</xdr:row>
      <xdr:rowOff>112791</xdr:rowOff>
    </xdr:from>
    <xdr:to>
      <xdr:col>2</xdr:col>
      <xdr:colOff>573945</xdr:colOff>
      <xdr:row>10</xdr:row>
      <xdr:rowOff>34859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006B4FB-EE94-F3E9-6E5B-E8772F41DDDD}"/>
            </a:ext>
          </a:extLst>
        </xdr:cNvPr>
        <xdr:cNvSpPr txBox="1"/>
      </xdr:nvSpPr>
      <xdr:spPr>
        <a:xfrm>
          <a:off x="241725" y="1811562"/>
          <a:ext cx="1230541" cy="320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bg1"/>
              </a:solidFill>
            </a:rPr>
            <a:t>Not Started</a:t>
          </a:r>
          <a:endParaRPr lang="en-D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726189</xdr:colOff>
      <xdr:row>8</xdr:row>
      <xdr:rowOff>121879</xdr:rowOff>
    </xdr:from>
    <xdr:to>
      <xdr:col>2</xdr:col>
      <xdr:colOff>1956730</xdr:colOff>
      <xdr:row>10</xdr:row>
      <xdr:rowOff>43947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5525C6A-F0B6-D97E-F1FD-99E75E01A0BE}"/>
            </a:ext>
          </a:extLst>
        </xdr:cNvPr>
        <xdr:cNvSpPr txBox="1"/>
      </xdr:nvSpPr>
      <xdr:spPr>
        <a:xfrm>
          <a:off x="1624510" y="1820650"/>
          <a:ext cx="1230541" cy="320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bg1"/>
              </a:solidFill>
            </a:rPr>
            <a:t>Total</a:t>
          </a:r>
          <a:endParaRPr lang="en-DE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243125</xdr:colOff>
      <xdr:row>5</xdr:row>
      <xdr:rowOff>103615</xdr:rowOff>
    </xdr:from>
    <xdr:to>
      <xdr:col>2</xdr:col>
      <xdr:colOff>575345</xdr:colOff>
      <xdr:row>7</xdr:row>
      <xdr:rowOff>29774</xdr:rowOff>
    </xdr:to>
    <xdr:sp macro="" textlink="'Support Sheet'!C3">
      <xdr:nvSpPr>
        <xdr:cNvPr id="22" name="TextBox 21">
          <a:extLst>
            <a:ext uri="{FF2B5EF4-FFF2-40B4-BE49-F238E27FC236}">
              <a16:creationId xmlns:a16="http://schemas.microsoft.com/office/drawing/2014/main" id="{3BB3F32C-1617-1437-8438-F464FE0600E1}"/>
            </a:ext>
          </a:extLst>
        </xdr:cNvPr>
        <xdr:cNvSpPr txBox="1"/>
      </xdr:nvSpPr>
      <xdr:spPr>
        <a:xfrm>
          <a:off x="243125" y="1190859"/>
          <a:ext cx="1233610" cy="316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D3D0276-A4F2-4F55-BB76-A4A302145A4D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42</a:t>
          </a:fld>
          <a:endParaRPr lang="en-DE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727586</xdr:colOff>
      <xdr:row>5</xdr:row>
      <xdr:rowOff>109207</xdr:rowOff>
    </xdr:from>
    <xdr:to>
      <xdr:col>2</xdr:col>
      <xdr:colOff>1958127</xdr:colOff>
      <xdr:row>7</xdr:row>
      <xdr:rowOff>31275</xdr:rowOff>
    </xdr:to>
    <xdr:sp macro="" textlink="'Support Sheet'!C4">
      <xdr:nvSpPr>
        <xdr:cNvPr id="23" name="TextBox 22">
          <a:extLst>
            <a:ext uri="{FF2B5EF4-FFF2-40B4-BE49-F238E27FC236}">
              <a16:creationId xmlns:a16="http://schemas.microsoft.com/office/drawing/2014/main" id="{9A9EDC06-6007-11F5-74EF-521EC46012CA}"/>
            </a:ext>
          </a:extLst>
        </xdr:cNvPr>
        <xdr:cNvSpPr txBox="1"/>
      </xdr:nvSpPr>
      <xdr:spPr>
        <a:xfrm>
          <a:off x="1628976" y="1196451"/>
          <a:ext cx="1230541" cy="3123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EDEFE75-75CA-496B-AE80-7EFE11F10A31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40</a:t>
          </a:fld>
          <a:endParaRPr lang="en-DE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236832</xdr:colOff>
      <xdr:row>10</xdr:row>
      <xdr:rowOff>48392</xdr:rowOff>
    </xdr:from>
    <xdr:to>
      <xdr:col>2</xdr:col>
      <xdr:colOff>569052</xdr:colOff>
      <xdr:row>11</xdr:row>
      <xdr:rowOff>169699</xdr:rowOff>
    </xdr:to>
    <xdr:sp macro="" textlink="'Support Sheet'!C5">
      <xdr:nvSpPr>
        <xdr:cNvPr id="24" name="TextBox 23">
          <a:extLst>
            <a:ext uri="{FF2B5EF4-FFF2-40B4-BE49-F238E27FC236}">
              <a16:creationId xmlns:a16="http://schemas.microsoft.com/office/drawing/2014/main" id="{410565FA-7342-4DDC-A148-575A86666A30}"/>
            </a:ext>
          </a:extLst>
        </xdr:cNvPr>
        <xdr:cNvSpPr txBox="1"/>
      </xdr:nvSpPr>
      <xdr:spPr>
        <a:xfrm>
          <a:off x="236832" y="2111368"/>
          <a:ext cx="1233610" cy="316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CB34E16-ABB9-4CE4-B27A-65C46F7574B0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23</a:t>
          </a:fld>
          <a:endParaRPr lang="en-DE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724790</xdr:colOff>
      <xdr:row>10</xdr:row>
      <xdr:rowOff>50487</xdr:rowOff>
    </xdr:from>
    <xdr:to>
      <xdr:col>2</xdr:col>
      <xdr:colOff>1955331</xdr:colOff>
      <xdr:row>11</xdr:row>
      <xdr:rowOff>171794</xdr:rowOff>
    </xdr:to>
    <xdr:sp macro="" textlink="'Support Sheet'!C6">
      <xdr:nvSpPr>
        <xdr:cNvPr id="25" name="TextBox 24">
          <a:extLst>
            <a:ext uri="{FF2B5EF4-FFF2-40B4-BE49-F238E27FC236}">
              <a16:creationId xmlns:a16="http://schemas.microsoft.com/office/drawing/2014/main" id="{9AAAE63A-E608-D047-B732-0AC7B2243B76}"/>
            </a:ext>
          </a:extLst>
        </xdr:cNvPr>
        <xdr:cNvSpPr txBox="1"/>
      </xdr:nvSpPr>
      <xdr:spPr>
        <a:xfrm>
          <a:off x="1626180" y="2113463"/>
          <a:ext cx="1230541" cy="316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FF08C77-DDA9-490C-AEC8-32A234B83663}" type="TxLink">
            <a:rPr lang="en-US" sz="32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105</a:t>
          </a:fld>
          <a:endParaRPr lang="en-DE" sz="32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37510</xdr:colOff>
      <xdr:row>3</xdr:row>
      <xdr:rowOff>60828</xdr:rowOff>
    </xdr:from>
    <xdr:to>
      <xdr:col>7</xdr:col>
      <xdr:colOff>221673</xdr:colOff>
      <xdr:row>12</xdr:row>
      <xdr:rowOff>145473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B4E3EB3-BF8F-4762-B5CA-4C3D78FCC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309621</xdr:colOff>
      <xdr:row>3</xdr:row>
      <xdr:rowOff>92212</xdr:rowOff>
    </xdr:from>
    <xdr:to>
      <xdr:col>10</xdr:col>
      <xdr:colOff>1300977</xdr:colOff>
      <xdr:row>12</xdr:row>
      <xdr:rowOff>55757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E26489A-FC4A-4EAA-98B1-8661B034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1306708</xdr:colOff>
      <xdr:row>4</xdr:row>
      <xdr:rowOff>143175</xdr:rowOff>
    </xdr:from>
    <xdr:to>
      <xdr:col>11</xdr:col>
      <xdr:colOff>75782</xdr:colOff>
      <xdr:row>6</xdr:row>
      <xdr:rowOff>152399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BC7B197-7BF3-34DB-5D3F-B53385CA6F9F}"/>
            </a:ext>
          </a:extLst>
        </xdr:cNvPr>
        <xdr:cNvSpPr txBox="1"/>
      </xdr:nvSpPr>
      <xdr:spPr>
        <a:xfrm>
          <a:off x="10850950" y="1051417"/>
          <a:ext cx="2055680" cy="409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>
              <a:solidFill>
                <a:schemeClr val="bg1"/>
              </a:solidFill>
            </a:rPr>
            <a:t>Overdue Tasks</a:t>
          </a:r>
          <a:endParaRPr lang="en-DE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2002541</xdr:colOff>
      <xdr:row>7</xdr:row>
      <xdr:rowOff>146243</xdr:rowOff>
    </xdr:from>
    <xdr:to>
      <xdr:col>10</xdr:col>
      <xdr:colOff>3233082</xdr:colOff>
      <xdr:row>10</xdr:row>
      <xdr:rowOff>20265</xdr:rowOff>
    </xdr:to>
    <xdr:sp macro="" textlink="'Support Sheet'!K3">
      <xdr:nvSpPr>
        <xdr:cNvPr id="31" name="TextBox 30">
          <a:extLst>
            <a:ext uri="{FF2B5EF4-FFF2-40B4-BE49-F238E27FC236}">
              <a16:creationId xmlns:a16="http://schemas.microsoft.com/office/drawing/2014/main" id="{F3BC5C8D-DDF0-DD49-CC99-AA07CE27E9F7}"/>
            </a:ext>
          </a:extLst>
        </xdr:cNvPr>
        <xdr:cNvSpPr txBox="1"/>
      </xdr:nvSpPr>
      <xdr:spPr>
        <a:xfrm>
          <a:off x="11520352" y="1655866"/>
          <a:ext cx="1230541" cy="477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2AA6BD7-304D-47AA-9FCD-AF8297D2040D}" type="TxLink">
            <a:rPr lang="en-US" sz="44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13</a:t>
          </a:fld>
          <a:endParaRPr lang="en-DE" sz="44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209322</xdr:colOff>
      <xdr:row>8</xdr:row>
      <xdr:rowOff>129383</xdr:rowOff>
    </xdr:from>
    <xdr:to>
      <xdr:col>2</xdr:col>
      <xdr:colOff>233877</xdr:colOff>
      <xdr:row>14</xdr:row>
      <xdr:rowOff>19213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B906DE83-1341-469D-B7C2-FAEBEEFF31D1}"/>
            </a:ext>
          </a:extLst>
        </xdr:cNvPr>
        <xdr:cNvSpPr/>
      </xdr:nvSpPr>
      <xdr:spPr>
        <a:xfrm>
          <a:off x="209322" y="1719644"/>
          <a:ext cx="1131112" cy="1082526"/>
        </a:xfrm>
        <a:prstGeom prst="roundRect">
          <a:avLst>
            <a:gd name="adj" fmla="val 10985"/>
          </a:avLst>
        </a:prstGeom>
        <a:gradFill>
          <a:gsLst>
            <a:gs pos="17000">
              <a:srgbClr val="22577A"/>
            </a:gs>
            <a:gs pos="41000">
              <a:srgbClr val="38A3A5"/>
            </a:gs>
            <a:gs pos="72000">
              <a:srgbClr val="57CC99"/>
            </a:gs>
            <a:gs pos="100000">
              <a:srgbClr val="80ED99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16</xdr:col>
      <xdr:colOff>401578</xdr:colOff>
      <xdr:row>20</xdr:row>
      <xdr:rowOff>61028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5EDA1C-1C1B-4FE5-B693-D82AB082E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418220</xdr:colOff>
      <xdr:row>25</xdr:row>
      <xdr:rowOff>95699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019405-10F7-4CA7-A597-1CA76C1B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18B68-66B5-4991-9C1C-2C28389A654F}" name="Table1" displayName="Table1" ref="B14:K143" totalsRowShown="0" headerRowDxfId="22" headerRowCellStyle="Normal 2">
  <autoFilter ref="B14:K143" xr:uid="{1C818B68-66B5-4991-9C1C-2C28389A654F}"/>
  <tableColumns count="10">
    <tableColumn id="1" xr3:uid="{60DA383B-9CE8-49C1-B12A-2C60EFF0345F}" name="Task ID" dataDxfId="21"/>
    <tableColumn id="2" xr3:uid="{BB2EA7AF-FF6C-409A-A525-86F695F48C24}" name="Task Name"/>
    <tableColumn id="3" xr3:uid="{81A91FB4-EB33-43B8-B952-9C4E8CE90F1B}" name="Team"/>
    <tableColumn id="4" xr3:uid="{0C340036-6BE5-4DB5-803D-D6D2447FC8EB}" name="Task Owner"/>
    <tableColumn id="5" xr3:uid="{0CABA42B-AD8C-4212-8DE6-AC6603C89581}" name="Start Date" dataDxfId="20"/>
    <tableColumn id="6" xr3:uid="{9BA8FE92-F9F3-4C25-A16A-955F0980E685}" name="Due Date" dataDxfId="19"/>
    <tableColumn id="7" xr3:uid="{3F734400-53DF-41F2-83EB-CB62F81DB4A8}" name="Task Duration" dataDxfId="18">
      <calculatedColumnFormula>Table1[[#This Row],[Due Date]]-Table1[[#This Row],[Start Date]]</calculatedColumnFormula>
    </tableColumn>
    <tableColumn id="8" xr3:uid="{784A8DC0-BBBA-473F-9449-A2572270D1D3}" name="Status" dataDxfId="17"/>
    <tableColumn id="9" xr3:uid="{0B281C34-434F-4EEC-B2E8-471D4A76B539}" name="Overdue?" dataDxfId="16">
      <calculatedColumnFormula>AND(Table1[[#This Row],[Status]]&lt;&gt;"Completed",Table1[[#This Row],[Due Date]]&lt;TODAY())</calculatedColumnFormula>
    </tableColumn>
    <tableColumn id="10" xr3:uid="{7094DDC3-2C37-4815-8A17-5B7103104C6D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B1:K143"/>
  <sheetViews>
    <sheetView showGridLines="0" tabSelected="1" zoomScale="59" zoomScaleNormal="101" workbookViewId="0">
      <pane ySplit="14" topLeftCell="A87" activePane="bottomLeft" state="frozen"/>
      <selection pane="bottomLeft" activeCell="G126" sqref="G126"/>
    </sheetView>
  </sheetViews>
  <sheetFormatPr defaultColWidth="11.19921875" defaultRowHeight="15.6"/>
  <cols>
    <col min="1" max="1" width="3.5" customWidth="1"/>
    <col min="2" max="2" width="8.296875" style="1" customWidth="1"/>
    <col min="3" max="3" width="33.19921875" bestFit="1" customWidth="1"/>
    <col min="5" max="5" width="14.19921875" bestFit="1" customWidth="1"/>
    <col min="6" max="6" width="12.3984375" bestFit="1" customWidth="1"/>
    <col min="7" max="7" width="11.796875" bestFit="1" customWidth="1"/>
    <col min="8" max="8" width="15.09765625" bestFit="1" customWidth="1"/>
    <col min="9" max="9" width="10.09765625" style="1" bestFit="1" customWidth="1"/>
    <col min="10" max="10" width="12.09765625" bestFit="1" customWidth="1"/>
    <col min="11" max="11" width="50.5" bestFit="1" customWidth="1"/>
  </cols>
  <sheetData>
    <row r="1" spans="2:11" ht="24" customHeight="1"/>
    <row r="14" spans="2:11">
      <c r="B14" s="4" t="s">
        <v>1</v>
      </c>
      <c r="C14" s="4" t="s">
        <v>0</v>
      </c>
      <c r="D14" s="4" t="s">
        <v>70</v>
      </c>
      <c r="E14" s="4" t="s">
        <v>6</v>
      </c>
      <c r="F14" s="4" t="s">
        <v>2</v>
      </c>
      <c r="G14" s="4" t="s">
        <v>3</v>
      </c>
      <c r="H14" s="4" t="s">
        <v>11</v>
      </c>
      <c r="I14" s="4" t="s">
        <v>4</v>
      </c>
      <c r="J14" s="4" t="s">
        <v>5</v>
      </c>
      <c r="K14" s="4" t="s">
        <v>7</v>
      </c>
    </row>
    <row r="15" spans="2:11">
      <c r="B15" s="1" t="s">
        <v>13</v>
      </c>
      <c r="C15" t="s">
        <v>14</v>
      </c>
      <c r="D15" t="s">
        <v>65</v>
      </c>
      <c r="E15" t="s">
        <v>15</v>
      </c>
      <c r="F15" s="2">
        <v>46267</v>
      </c>
      <c r="G15" s="2">
        <v>46285</v>
      </c>
      <c r="H15" s="6">
        <f>Table1[[#This Row],[Due Date]]-Table1[[#This Row],[Start Date]]</f>
        <v>18</v>
      </c>
      <c r="I15" s="1" t="s">
        <v>16</v>
      </c>
      <c r="J15" s="1" t="b">
        <f ca="1">AND(Table1[[#This Row],[Status]]&lt;&gt;"Completed",Table1[[#This Row],[Due Date]]&lt;TODAY())</f>
        <v>0</v>
      </c>
      <c r="K15" t="s">
        <v>17</v>
      </c>
    </row>
    <row r="16" spans="2:11">
      <c r="B16" s="1" t="s">
        <v>18</v>
      </c>
      <c r="C16" t="s">
        <v>62</v>
      </c>
      <c r="D16" t="s">
        <v>57</v>
      </c>
      <c r="E16" t="s">
        <v>15</v>
      </c>
      <c r="F16" s="2">
        <v>46270</v>
      </c>
      <c r="G16" s="2">
        <v>46290</v>
      </c>
      <c r="H16" s="6">
        <f>Table1[[#This Row],[Due Date]]-Table1[[#This Row],[Start Date]]</f>
        <v>20</v>
      </c>
      <c r="I16" s="1" t="s">
        <v>16</v>
      </c>
      <c r="J16" s="1" t="b">
        <f ca="1">AND(Table1[[#This Row],[Status]]&lt;&gt;"Completed",Table1[[#This Row],[Due Date]]&lt;TODAY())</f>
        <v>0</v>
      </c>
      <c r="K16" t="s">
        <v>20</v>
      </c>
    </row>
    <row r="17" spans="2:11">
      <c r="B17" s="1" t="s">
        <v>21</v>
      </c>
      <c r="C17" t="s">
        <v>22</v>
      </c>
      <c r="D17" t="s">
        <v>57</v>
      </c>
      <c r="E17" t="s">
        <v>19</v>
      </c>
      <c r="F17" s="2">
        <v>46213</v>
      </c>
      <c r="G17" s="2">
        <v>46239</v>
      </c>
      <c r="H17" s="6">
        <f>Table1[[#This Row],[Due Date]]-Table1[[#This Row],[Start Date]]</f>
        <v>26</v>
      </c>
      <c r="I17" s="1" t="s">
        <v>8</v>
      </c>
      <c r="J17" s="1" t="b">
        <f ca="1">AND(Table1[[#This Row],[Status]]&lt;&gt;"Completed",Table1[[#This Row],[Due Date]]&lt;TODAY())</f>
        <v>1</v>
      </c>
      <c r="K17" t="s">
        <v>23</v>
      </c>
    </row>
    <row r="18" spans="2:11">
      <c r="B18" s="1" t="s">
        <v>24</v>
      </c>
      <c r="C18" t="s">
        <v>25</v>
      </c>
      <c r="D18" t="s">
        <v>65</v>
      </c>
      <c r="E18" t="s">
        <v>15</v>
      </c>
      <c r="F18" s="2">
        <v>46277</v>
      </c>
      <c r="G18" s="2">
        <v>46295</v>
      </c>
      <c r="H18" s="6">
        <f>Table1[[#This Row],[Due Date]]-Table1[[#This Row],[Start Date]]</f>
        <v>18</v>
      </c>
      <c r="I18" s="1" t="s">
        <v>16</v>
      </c>
      <c r="J18" s="1" t="b">
        <f ca="1">AND(Table1[[#This Row],[Status]]&lt;&gt;"Completed",Table1[[#This Row],[Due Date]]&lt;TODAY())</f>
        <v>0</v>
      </c>
      <c r="K18" t="s">
        <v>27</v>
      </c>
    </row>
    <row r="19" spans="2:11">
      <c r="B19" s="1" t="s">
        <v>28</v>
      </c>
      <c r="C19" t="s">
        <v>29</v>
      </c>
      <c r="D19" t="s">
        <v>57</v>
      </c>
      <c r="E19" t="s">
        <v>26</v>
      </c>
      <c r="F19" s="2">
        <v>46280</v>
      </c>
      <c r="G19" s="2">
        <v>46305</v>
      </c>
      <c r="H19" s="6">
        <f>Table1[[#This Row],[Due Date]]-Table1[[#This Row],[Start Date]]</f>
        <v>25</v>
      </c>
      <c r="I19" s="1" t="s">
        <v>8</v>
      </c>
      <c r="J19" s="1" t="b">
        <f ca="1">AND(Table1[[#This Row],[Status]]&lt;&gt;"Completed",Table1[[#This Row],[Due Date]]&lt;TODAY())</f>
        <v>0</v>
      </c>
      <c r="K19" t="s">
        <v>31</v>
      </c>
    </row>
    <row r="20" spans="2:11">
      <c r="B20" s="1" t="s">
        <v>32</v>
      </c>
      <c r="C20" t="s">
        <v>33</v>
      </c>
      <c r="D20" t="s">
        <v>66</v>
      </c>
      <c r="E20" t="s">
        <v>19</v>
      </c>
      <c r="F20" s="2">
        <v>46283</v>
      </c>
      <c r="G20" s="2">
        <v>46310</v>
      </c>
      <c r="H20" s="6">
        <f>Table1[[#This Row],[Due Date]]-Table1[[#This Row],[Start Date]]</f>
        <v>27</v>
      </c>
      <c r="I20" s="1" t="s">
        <v>8</v>
      </c>
      <c r="J20" s="1" t="b">
        <f ca="1">AND(Table1[[#This Row],[Status]]&lt;&gt;"Completed",Table1[[#This Row],[Due Date]]&lt;TODAY())</f>
        <v>0</v>
      </c>
      <c r="K20" t="s">
        <v>35</v>
      </c>
    </row>
    <row r="21" spans="2:11">
      <c r="B21" s="1" t="s">
        <v>36</v>
      </c>
      <c r="C21" t="s">
        <v>63</v>
      </c>
      <c r="D21" t="s">
        <v>66</v>
      </c>
      <c r="E21" t="s">
        <v>30</v>
      </c>
      <c r="F21" s="2">
        <v>46254</v>
      </c>
      <c r="G21" s="2">
        <v>46261</v>
      </c>
      <c r="H21" s="6">
        <f>Table1[[#This Row],[Due Date]]-Table1[[#This Row],[Start Date]]</f>
        <v>7</v>
      </c>
      <c r="I21" s="1" t="s">
        <v>9</v>
      </c>
      <c r="J21" s="1" t="b">
        <f ca="1">AND(Table1[[#This Row],[Status]]&lt;&gt;"Completed",Table1[[#This Row],[Due Date]]&lt;TODAY())</f>
        <v>1</v>
      </c>
      <c r="K21" t="s">
        <v>37</v>
      </c>
    </row>
    <row r="22" spans="2:11">
      <c r="B22" s="1" t="s">
        <v>38</v>
      </c>
      <c r="C22" t="s">
        <v>39</v>
      </c>
      <c r="D22" t="s">
        <v>40</v>
      </c>
      <c r="E22" t="s">
        <v>30</v>
      </c>
      <c r="F22" s="2">
        <v>46287</v>
      </c>
      <c r="G22" s="2">
        <v>46307</v>
      </c>
      <c r="H22" s="6">
        <f>Table1[[#This Row],[Due Date]]-Table1[[#This Row],[Start Date]]</f>
        <v>20</v>
      </c>
      <c r="I22" s="1" t="s">
        <v>8</v>
      </c>
      <c r="J22" s="1" t="b">
        <f ca="1">AND(Table1[[#This Row],[Status]]&lt;&gt;"Completed",Table1[[#This Row],[Due Date]]&lt;TODAY())</f>
        <v>0</v>
      </c>
      <c r="K22" t="s">
        <v>41</v>
      </c>
    </row>
    <row r="23" spans="2:11">
      <c r="B23" s="1" t="s">
        <v>42</v>
      </c>
      <c r="C23" t="s">
        <v>43</v>
      </c>
      <c r="D23" t="s">
        <v>66</v>
      </c>
      <c r="E23" t="s">
        <v>15</v>
      </c>
      <c r="F23" s="2">
        <v>46288</v>
      </c>
      <c r="G23" s="2">
        <v>46315</v>
      </c>
      <c r="H23" s="6">
        <f>Table1[[#This Row],[Due Date]]-Table1[[#This Row],[Start Date]]</f>
        <v>27</v>
      </c>
      <c r="I23" s="1" t="s">
        <v>16</v>
      </c>
      <c r="J23" s="1" t="b">
        <f ca="1">AND(Table1[[#This Row],[Status]]&lt;&gt;"Completed",Table1[[#This Row],[Due Date]]&lt;TODAY())</f>
        <v>0</v>
      </c>
      <c r="K23" t="s">
        <v>44</v>
      </c>
    </row>
    <row r="24" spans="2:11">
      <c r="B24" s="1" t="s">
        <v>45</v>
      </c>
      <c r="C24" t="s">
        <v>64</v>
      </c>
      <c r="D24" t="s">
        <v>66</v>
      </c>
      <c r="E24" t="s">
        <v>15</v>
      </c>
      <c r="F24" s="2">
        <v>46289</v>
      </c>
      <c r="G24" s="2">
        <v>46300</v>
      </c>
      <c r="H24" s="6">
        <f>Table1[[#This Row],[Due Date]]-Table1[[#This Row],[Start Date]]</f>
        <v>11</v>
      </c>
      <c r="I24" s="1" t="s">
        <v>8</v>
      </c>
      <c r="J24" s="1" t="b">
        <f ca="1">AND(Table1[[#This Row],[Status]]&lt;&gt;"Completed",Table1[[#This Row],[Due Date]]&lt;TODAY())</f>
        <v>1</v>
      </c>
      <c r="K24" t="s">
        <v>46</v>
      </c>
    </row>
    <row r="25" spans="2:11">
      <c r="B25" s="1" t="s">
        <v>47</v>
      </c>
      <c r="C25" t="s">
        <v>48</v>
      </c>
      <c r="D25" t="s">
        <v>65</v>
      </c>
      <c r="E25" t="s">
        <v>19</v>
      </c>
      <c r="F25" s="2">
        <v>46290</v>
      </c>
      <c r="G25" s="2">
        <v>46297</v>
      </c>
      <c r="H25" s="6">
        <f>Table1[[#This Row],[Due Date]]-Table1[[#This Row],[Start Date]]</f>
        <v>7</v>
      </c>
      <c r="I25" s="1" t="s">
        <v>16</v>
      </c>
      <c r="J25" s="1" t="b">
        <f ca="1">AND(Table1[[#This Row],[Status]]&lt;&gt;"Completed",Table1[[#This Row],[Due Date]]&lt;TODAY())</f>
        <v>0</v>
      </c>
      <c r="K25" t="s">
        <v>49</v>
      </c>
    </row>
    <row r="26" spans="2:11">
      <c r="B26" s="1" t="s">
        <v>50</v>
      </c>
      <c r="C26" t="s">
        <v>67</v>
      </c>
      <c r="D26" s="3" t="s">
        <v>57</v>
      </c>
      <c r="E26" t="s">
        <v>15</v>
      </c>
      <c r="F26" s="2">
        <v>46291</v>
      </c>
      <c r="G26" s="2">
        <v>46325</v>
      </c>
      <c r="H26" s="6">
        <f>Table1[[#This Row],[Due Date]]-Table1[[#This Row],[Start Date]]</f>
        <v>34</v>
      </c>
      <c r="I26" s="1" t="s">
        <v>16</v>
      </c>
      <c r="J26" s="1" t="b">
        <f ca="1">AND(Table1[[#This Row],[Status]]&lt;&gt;"Completed",Table1[[#This Row],[Due Date]]&lt;TODAY())</f>
        <v>0</v>
      </c>
      <c r="K26" t="s">
        <v>51</v>
      </c>
    </row>
    <row r="27" spans="2:11">
      <c r="B27" s="1" t="s">
        <v>52</v>
      </c>
      <c r="C27" t="s">
        <v>53</v>
      </c>
      <c r="D27" s="3" t="s">
        <v>57</v>
      </c>
      <c r="E27" t="s">
        <v>34</v>
      </c>
      <c r="F27" s="2">
        <v>46292</v>
      </c>
      <c r="G27" s="2">
        <v>46302</v>
      </c>
      <c r="H27" s="6">
        <f>Table1[[#This Row],[Due Date]]-Table1[[#This Row],[Start Date]]</f>
        <v>10</v>
      </c>
      <c r="I27" s="1" t="s">
        <v>8</v>
      </c>
      <c r="J27" s="1" t="b">
        <f ca="1">AND(Table1[[#This Row],[Status]]&lt;&gt;"Completed",Table1[[#This Row],[Due Date]]&lt;TODAY())</f>
        <v>1</v>
      </c>
      <c r="K27" t="s">
        <v>54</v>
      </c>
    </row>
    <row r="28" spans="2:11">
      <c r="B28" s="1" t="s">
        <v>55</v>
      </c>
      <c r="C28" t="s">
        <v>56</v>
      </c>
      <c r="D28" t="s">
        <v>57</v>
      </c>
      <c r="E28" t="s">
        <v>34</v>
      </c>
      <c r="F28" s="2">
        <v>46293</v>
      </c>
      <c r="G28" s="2">
        <v>46313</v>
      </c>
      <c r="H28" s="6">
        <f>Table1[[#This Row],[Due Date]]-Table1[[#This Row],[Start Date]]</f>
        <v>20</v>
      </c>
      <c r="I28" s="1" t="s">
        <v>16</v>
      </c>
      <c r="J28" s="1" t="b">
        <f ca="1">AND(Table1[[#This Row],[Status]]&lt;&gt;"Completed",Table1[[#This Row],[Due Date]]&lt;TODAY())</f>
        <v>0</v>
      </c>
      <c r="K28" t="s">
        <v>58</v>
      </c>
    </row>
    <row r="29" spans="2:11">
      <c r="B29" s="1" t="s">
        <v>59</v>
      </c>
      <c r="C29" t="s">
        <v>60</v>
      </c>
      <c r="D29" t="s">
        <v>65</v>
      </c>
      <c r="E29" t="s">
        <v>34</v>
      </c>
      <c r="F29" s="2">
        <v>46294</v>
      </c>
      <c r="G29" s="2">
        <v>46299</v>
      </c>
      <c r="H29" s="6">
        <f>Table1[[#This Row],[Due Date]]-Table1[[#This Row],[Start Date]]</f>
        <v>5</v>
      </c>
      <c r="I29" s="1" t="s">
        <v>9</v>
      </c>
      <c r="J29" s="1" t="b">
        <f ca="1">AND(Table1[[#This Row],[Status]]&lt;&gt;"Completed",Table1[[#This Row],[Due Date]]&lt;TODAY())</f>
        <v>1</v>
      </c>
      <c r="K29" t="s">
        <v>61</v>
      </c>
    </row>
    <row r="30" spans="2:11">
      <c r="B30" s="1" t="s">
        <v>71</v>
      </c>
      <c r="C30" t="s">
        <v>72</v>
      </c>
      <c r="D30" t="s">
        <v>65</v>
      </c>
      <c r="E30" t="s">
        <v>15</v>
      </c>
      <c r="F30" s="2">
        <v>46244</v>
      </c>
      <c r="G30" s="2">
        <v>46310</v>
      </c>
      <c r="H30" s="6">
        <f>Table1[[#This Row],[Due Date]]-Table1[[#This Row],[Start Date]]</f>
        <v>66</v>
      </c>
      <c r="I30" s="1" t="s">
        <v>8</v>
      </c>
      <c r="J30" s="1" t="b">
        <f ca="1">AND(Table1[[#This Row],[Status]]&lt;&gt;"Completed",Table1[[#This Row],[Due Date]]&lt;TODAY())</f>
        <v>0</v>
      </c>
      <c r="K30" t="s">
        <v>73</v>
      </c>
    </row>
    <row r="31" spans="2:11">
      <c r="B31" s="1" t="s">
        <v>74</v>
      </c>
      <c r="C31" t="s">
        <v>75</v>
      </c>
      <c r="D31" t="s">
        <v>65</v>
      </c>
      <c r="E31" t="s">
        <v>19</v>
      </c>
      <c r="F31" s="2">
        <v>46266</v>
      </c>
      <c r="G31" s="2">
        <v>46290</v>
      </c>
      <c r="H31" s="6">
        <f>Table1[[#This Row],[Due Date]]-Table1[[#This Row],[Start Date]]</f>
        <v>24</v>
      </c>
      <c r="I31" s="1" t="s">
        <v>16</v>
      </c>
      <c r="J31" s="1" t="b">
        <f ca="1">AND(Table1[[#This Row],[Status]]&lt;&gt;"Completed",Table1[[#This Row],[Due Date]]&lt;TODAY())</f>
        <v>0</v>
      </c>
      <c r="K31" t="s">
        <v>76</v>
      </c>
    </row>
    <row r="32" spans="2:11">
      <c r="B32" s="1" t="s">
        <v>77</v>
      </c>
      <c r="C32" t="s">
        <v>78</v>
      </c>
      <c r="D32" t="s">
        <v>65</v>
      </c>
      <c r="E32" t="s">
        <v>26</v>
      </c>
      <c r="F32" s="2">
        <v>46280</v>
      </c>
      <c r="G32" s="2">
        <v>46301</v>
      </c>
      <c r="H32" s="6">
        <f>Table1[[#This Row],[Due Date]]-Table1[[#This Row],[Start Date]]</f>
        <v>21</v>
      </c>
      <c r="I32" s="1" t="s">
        <v>8</v>
      </c>
      <c r="J32" s="1" t="b">
        <f ca="1">AND(Table1[[#This Row],[Status]]&lt;&gt;"Completed",Table1[[#This Row],[Due Date]]&lt;TODAY())</f>
        <v>1</v>
      </c>
      <c r="K32" t="s">
        <v>79</v>
      </c>
    </row>
    <row r="33" spans="2:11">
      <c r="B33" s="1" t="s">
        <v>80</v>
      </c>
      <c r="C33" t="s">
        <v>81</v>
      </c>
      <c r="D33" t="s">
        <v>65</v>
      </c>
      <c r="E33" t="s">
        <v>30</v>
      </c>
      <c r="F33" s="2">
        <v>46296</v>
      </c>
      <c r="G33" s="2">
        <v>46315</v>
      </c>
      <c r="H33" s="6">
        <f>Table1[[#This Row],[Due Date]]-Table1[[#This Row],[Start Date]]</f>
        <v>19</v>
      </c>
      <c r="I33" s="1" t="s">
        <v>9</v>
      </c>
      <c r="J33" s="1" t="b">
        <f ca="1">AND(Table1[[#This Row],[Status]]&lt;&gt;"Completed",Table1[[#This Row],[Due Date]]&lt;TODAY())</f>
        <v>0</v>
      </c>
      <c r="K33" t="s">
        <v>82</v>
      </c>
    </row>
    <row r="34" spans="2:11">
      <c r="B34" s="1" t="s">
        <v>83</v>
      </c>
      <c r="C34" t="s">
        <v>84</v>
      </c>
      <c r="D34" t="s">
        <v>65</v>
      </c>
      <c r="E34" t="s">
        <v>34</v>
      </c>
      <c r="F34" s="2">
        <v>46246</v>
      </c>
      <c r="G34" s="2">
        <v>46270</v>
      </c>
      <c r="H34" s="6">
        <f>Table1[[#This Row],[Due Date]]-Table1[[#This Row],[Start Date]]</f>
        <v>24</v>
      </c>
      <c r="I34" s="1" t="s">
        <v>16</v>
      </c>
      <c r="J34" s="1" t="b">
        <f ca="1">AND(Table1[[#This Row],[Status]]&lt;&gt;"Completed",Table1[[#This Row],[Due Date]]&lt;TODAY())</f>
        <v>0</v>
      </c>
      <c r="K34" t="s">
        <v>85</v>
      </c>
    </row>
    <row r="35" spans="2:11">
      <c r="B35" s="1" t="s">
        <v>86</v>
      </c>
      <c r="C35" t="s">
        <v>87</v>
      </c>
      <c r="D35" t="s">
        <v>65</v>
      </c>
      <c r="E35" t="s">
        <v>15</v>
      </c>
      <c r="F35" s="2">
        <v>46297</v>
      </c>
      <c r="G35" s="2">
        <v>46323</v>
      </c>
      <c r="H35" s="6">
        <f>Table1[[#This Row],[Due Date]]-Table1[[#This Row],[Start Date]]</f>
        <v>26</v>
      </c>
      <c r="I35" s="1" t="s">
        <v>8</v>
      </c>
      <c r="J35" s="1" t="b">
        <f ca="1">AND(Table1[[#This Row],[Status]]&lt;&gt;"Completed",Table1[[#This Row],[Due Date]]&lt;TODAY())</f>
        <v>0</v>
      </c>
      <c r="K35" t="s">
        <v>88</v>
      </c>
    </row>
    <row r="36" spans="2:11">
      <c r="B36" s="1" t="s">
        <v>89</v>
      </c>
      <c r="C36" t="s">
        <v>90</v>
      </c>
      <c r="D36" t="s">
        <v>65</v>
      </c>
      <c r="E36" t="s">
        <v>19</v>
      </c>
      <c r="F36" s="2">
        <v>46252</v>
      </c>
      <c r="G36" s="2">
        <v>46275</v>
      </c>
      <c r="H36" s="6">
        <f>Table1[[#This Row],[Due Date]]-Table1[[#This Row],[Start Date]]</f>
        <v>23</v>
      </c>
      <c r="I36" s="1" t="s">
        <v>9</v>
      </c>
      <c r="J36" s="1" t="b">
        <f ca="1">AND(Table1[[#This Row],[Status]]&lt;&gt;"Completed",Table1[[#This Row],[Due Date]]&lt;TODAY())</f>
        <v>1</v>
      </c>
      <c r="K36" t="s">
        <v>91</v>
      </c>
    </row>
    <row r="37" spans="2:11">
      <c r="B37" s="1" t="s">
        <v>92</v>
      </c>
      <c r="C37" t="s">
        <v>93</v>
      </c>
      <c r="D37" t="s">
        <v>65</v>
      </c>
      <c r="E37" t="s">
        <v>26</v>
      </c>
      <c r="F37" s="2">
        <v>46285</v>
      </c>
      <c r="G37" s="2">
        <v>46325</v>
      </c>
      <c r="H37" s="6">
        <f>Table1[[#This Row],[Due Date]]-Table1[[#This Row],[Start Date]]</f>
        <v>40</v>
      </c>
      <c r="I37" s="1" t="s">
        <v>8</v>
      </c>
      <c r="J37" s="1" t="b">
        <f ca="1">AND(Table1[[#This Row],[Status]]&lt;&gt;"Completed",Table1[[#This Row],[Due Date]]&lt;TODAY())</f>
        <v>0</v>
      </c>
      <c r="K37" t="s">
        <v>94</v>
      </c>
    </row>
    <row r="38" spans="2:11">
      <c r="B38" s="1" t="s">
        <v>95</v>
      </c>
      <c r="C38" t="s">
        <v>96</v>
      </c>
      <c r="D38" t="s">
        <v>65</v>
      </c>
      <c r="E38" t="s">
        <v>30</v>
      </c>
      <c r="F38" s="2">
        <v>46270</v>
      </c>
      <c r="G38" s="2">
        <v>46283</v>
      </c>
      <c r="H38" s="6">
        <f>Table1[[#This Row],[Due Date]]-Table1[[#This Row],[Start Date]]</f>
        <v>13</v>
      </c>
      <c r="I38" s="1" t="s">
        <v>16</v>
      </c>
      <c r="J38" s="1" t="b">
        <f ca="1">AND(Table1[[#This Row],[Status]]&lt;&gt;"Completed",Table1[[#This Row],[Due Date]]&lt;TODAY())</f>
        <v>0</v>
      </c>
      <c r="K38" t="s">
        <v>97</v>
      </c>
    </row>
    <row r="39" spans="2:11">
      <c r="B39" s="1" t="s">
        <v>98</v>
      </c>
      <c r="C39" t="s">
        <v>99</v>
      </c>
      <c r="D39" t="s">
        <v>65</v>
      </c>
      <c r="E39" t="s">
        <v>34</v>
      </c>
      <c r="F39" s="2">
        <v>46300</v>
      </c>
      <c r="G39" s="2">
        <v>46338</v>
      </c>
      <c r="H39" s="6">
        <f>Table1[[#This Row],[Due Date]]-Table1[[#This Row],[Start Date]]</f>
        <v>38</v>
      </c>
      <c r="I39" s="1" t="s">
        <v>9</v>
      </c>
      <c r="J39" s="1" t="b">
        <f ca="1">AND(Table1[[#This Row],[Status]]&lt;&gt;"Completed",Table1[[#This Row],[Due Date]]&lt;TODAY())</f>
        <v>0</v>
      </c>
      <c r="K39" t="s">
        <v>100</v>
      </c>
    </row>
    <row r="40" spans="2:11">
      <c r="B40" s="1" t="s">
        <v>101</v>
      </c>
      <c r="C40" t="s">
        <v>102</v>
      </c>
      <c r="D40" t="s">
        <v>65</v>
      </c>
      <c r="E40" t="s">
        <v>15</v>
      </c>
      <c r="F40" s="2">
        <v>46235</v>
      </c>
      <c r="G40" s="2">
        <v>46280</v>
      </c>
      <c r="H40" s="6">
        <f>Table1[[#This Row],[Due Date]]-Table1[[#This Row],[Start Date]]</f>
        <v>45</v>
      </c>
      <c r="I40" s="1" t="s">
        <v>16</v>
      </c>
      <c r="J40" s="1" t="b">
        <f ca="1">AND(Table1[[#This Row],[Status]]&lt;&gt;"Completed",Table1[[#This Row],[Due Date]]&lt;TODAY())</f>
        <v>0</v>
      </c>
      <c r="K40" t="s">
        <v>103</v>
      </c>
    </row>
    <row r="41" spans="2:11">
      <c r="B41" s="1" t="s">
        <v>104</v>
      </c>
      <c r="C41" t="s">
        <v>105</v>
      </c>
      <c r="D41" t="s">
        <v>65</v>
      </c>
      <c r="E41" t="s">
        <v>19</v>
      </c>
      <c r="F41" s="2">
        <v>46287</v>
      </c>
      <c r="G41" s="2">
        <v>46320</v>
      </c>
      <c r="H41" s="6">
        <f>Table1[[#This Row],[Due Date]]-Table1[[#This Row],[Start Date]]</f>
        <v>33</v>
      </c>
      <c r="I41" s="1" t="s">
        <v>8</v>
      </c>
      <c r="J41" s="1" t="b">
        <f ca="1">AND(Table1[[#This Row],[Status]]&lt;&gt;"Completed",Table1[[#This Row],[Due Date]]&lt;TODAY())</f>
        <v>0</v>
      </c>
      <c r="K41" t="s">
        <v>106</v>
      </c>
    </row>
    <row r="42" spans="2:11">
      <c r="B42" s="1" t="s">
        <v>107</v>
      </c>
      <c r="C42" t="s">
        <v>108</v>
      </c>
      <c r="D42" t="s">
        <v>65</v>
      </c>
      <c r="E42" t="s">
        <v>26</v>
      </c>
      <c r="F42" s="2">
        <v>46254</v>
      </c>
      <c r="G42" s="2">
        <v>46277</v>
      </c>
      <c r="H42" s="6">
        <f>Table1[[#This Row],[Due Date]]-Table1[[#This Row],[Start Date]]</f>
        <v>23</v>
      </c>
      <c r="I42" s="1" t="s">
        <v>16</v>
      </c>
      <c r="J42" s="1" t="b">
        <f ca="1">AND(Table1[[#This Row],[Status]]&lt;&gt;"Completed",Table1[[#This Row],[Due Date]]&lt;TODAY())</f>
        <v>0</v>
      </c>
      <c r="K42" t="s">
        <v>109</v>
      </c>
    </row>
    <row r="43" spans="2:11">
      <c r="B43" s="1" t="s">
        <v>110</v>
      </c>
      <c r="C43" t="s">
        <v>111</v>
      </c>
      <c r="D43" t="s">
        <v>65</v>
      </c>
      <c r="E43" t="s">
        <v>30</v>
      </c>
      <c r="F43" s="2">
        <v>46301</v>
      </c>
      <c r="G43" s="2">
        <v>46319</v>
      </c>
      <c r="H43" s="6">
        <f>Table1[[#This Row],[Due Date]]-Table1[[#This Row],[Start Date]]</f>
        <v>18</v>
      </c>
      <c r="I43" s="1" t="s">
        <v>9</v>
      </c>
      <c r="J43" s="1" t="b">
        <f ca="1">AND(Table1[[#This Row],[Status]]&lt;&gt;"Completed",Table1[[#This Row],[Due Date]]&lt;TODAY())</f>
        <v>0</v>
      </c>
      <c r="K43" t="s">
        <v>112</v>
      </c>
    </row>
    <row r="44" spans="2:11">
      <c r="B44" s="1" t="s">
        <v>113</v>
      </c>
      <c r="C44" t="s">
        <v>114</v>
      </c>
      <c r="D44" t="s">
        <v>65</v>
      </c>
      <c r="E44" t="s">
        <v>34</v>
      </c>
      <c r="F44" s="2">
        <v>46275</v>
      </c>
      <c r="G44" s="2">
        <v>46307</v>
      </c>
      <c r="H44" s="6">
        <f>Table1[[#This Row],[Due Date]]-Table1[[#This Row],[Start Date]]</f>
        <v>32</v>
      </c>
      <c r="I44" s="1" t="s">
        <v>8</v>
      </c>
      <c r="J44" s="1" t="b">
        <f ca="1">AND(Table1[[#This Row],[Status]]&lt;&gt;"Completed",Table1[[#This Row],[Due Date]]&lt;TODAY())</f>
        <v>0</v>
      </c>
      <c r="K44" t="s">
        <v>115</v>
      </c>
    </row>
    <row r="45" spans="2:11">
      <c r="B45" s="1" t="s">
        <v>116</v>
      </c>
      <c r="C45" t="s">
        <v>117</v>
      </c>
      <c r="D45" t="s">
        <v>57</v>
      </c>
      <c r="E45" t="s">
        <v>15</v>
      </c>
      <c r="F45" s="2">
        <v>46237</v>
      </c>
      <c r="G45" s="2">
        <v>46262</v>
      </c>
      <c r="H45" s="6">
        <f>Table1[[#This Row],[Due Date]]-Table1[[#This Row],[Start Date]]</f>
        <v>25</v>
      </c>
      <c r="I45" s="1" t="s">
        <v>16</v>
      </c>
      <c r="J45" s="1" t="b">
        <f ca="1">AND(Table1[[#This Row],[Status]]&lt;&gt;"Completed",Table1[[#This Row],[Due Date]]&lt;TODAY())</f>
        <v>0</v>
      </c>
      <c r="K45" t="s">
        <v>118</v>
      </c>
    </row>
    <row r="46" spans="2:11">
      <c r="B46" s="1" t="s">
        <v>119</v>
      </c>
      <c r="C46" t="s">
        <v>120</v>
      </c>
      <c r="D46" t="s">
        <v>57</v>
      </c>
      <c r="E46" t="s">
        <v>19</v>
      </c>
      <c r="F46" s="2">
        <v>46266</v>
      </c>
      <c r="G46" s="2">
        <v>46305</v>
      </c>
      <c r="H46" s="6">
        <f>Table1[[#This Row],[Due Date]]-Table1[[#This Row],[Start Date]]</f>
        <v>39</v>
      </c>
      <c r="I46" s="1" t="s">
        <v>8</v>
      </c>
      <c r="J46" s="1" t="b">
        <f ca="1">AND(Table1[[#This Row],[Status]]&lt;&gt;"Completed",Table1[[#This Row],[Due Date]]&lt;TODAY())</f>
        <v>0</v>
      </c>
      <c r="K46" t="s">
        <v>121</v>
      </c>
    </row>
    <row r="47" spans="2:11">
      <c r="B47" s="1" t="s">
        <v>122</v>
      </c>
      <c r="C47" t="s">
        <v>123</v>
      </c>
      <c r="D47" t="s">
        <v>57</v>
      </c>
      <c r="E47" t="s">
        <v>26</v>
      </c>
      <c r="F47" s="2">
        <v>46249</v>
      </c>
      <c r="G47" s="2">
        <v>46280</v>
      </c>
      <c r="H47" s="6">
        <f>Table1[[#This Row],[Due Date]]-Table1[[#This Row],[Start Date]]</f>
        <v>31</v>
      </c>
      <c r="I47" s="1" t="s">
        <v>16</v>
      </c>
      <c r="J47" s="1" t="b">
        <f ca="1">AND(Table1[[#This Row],[Status]]&lt;&gt;"Completed",Table1[[#This Row],[Due Date]]&lt;TODAY())</f>
        <v>0</v>
      </c>
      <c r="K47" t="s">
        <v>124</v>
      </c>
    </row>
    <row r="48" spans="2:11">
      <c r="B48" s="1" t="s">
        <v>125</v>
      </c>
      <c r="C48" t="s">
        <v>126</v>
      </c>
      <c r="D48" t="s">
        <v>57</v>
      </c>
      <c r="E48" t="s">
        <v>30</v>
      </c>
      <c r="F48" s="2">
        <v>46296</v>
      </c>
      <c r="G48" s="2">
        <v>46341</v>
      </c>
      <c r="H48" s="6">
        <f>Table1[[#This Row],[Due Date]]-Table1[[#This Row],[Start Date]]</f>
        <v>45</v>
      </c>
      <c r="I48" s="1" t="s">
        <v>9</v>
      </c>
      <c r="J48" s="1" t="b">
        <f ca="1">AND(Table1[[#This Row],[Status]]&lt;&gt;"Completed",Table1[[#This Row],[Due Date]]&lt;TODAY())</f>
        <v>0</v>
      </c>
      <c r="K48" t="s">
        <v>127</v>
      </c>
    </row>
    <row r="49" spans="2:11">
      <c r="B49" s="1" t="s">
        <v>128</v>
      </c>
      <c r="C49" t="s">
        <v>129</v>
      </c>
      <c r="D49" t="s">
        <v>57</v>
      </c>
      <c r="E49" t="s">
        <v>34</v>
      </c>
      <c r="F49" s="2">
        <v>46254</v>
      </c>
      <c r="G49" s="2">
        <v>46290</v>
      </c>
      <c r="H49" s="6">
        <f>Table1[[#This Row],[Due Date]]-Table1[[#This Row],[Start Date]]</f>
        <v>36</v>
      </c>
      <c r="I49" s="1" t="s">
        <v>16</v>
      </c>
      <c r="J49" s="1" t="b">
        <f ca="1">AND(Table1[[#This Row],[Status]]&lt;&gt;"Completed",Table1[[#This Row],[Due Date]]&lt;TODAY())</f>
        <v>0</v>
      </c>
      <c r="K49" t="s">
        <v>130</v>
      </c>
    </row>
    <row r="50" spans="2:11">
      <c r="B50" s="1" t="s">
        <v>131</v>
      </c>
      <c r="C50" t="s">
        <v>132</v>
      </c>
      <c r="D50" t="s">
        <v>57</v>
      </c>
      <c r="E50" t="s">
        <v>15</v>
      </c>
      <c r="F50" s="2">
        <v>46277</v>
      </c>
      <c r="G50" s="2">
        <v>46313</v>
      </c>
      <c r="H50" s="6">
        <f>Table1[[#This Row],[Due Date]]-Table1[[#This Row],[Start Date]]</f>
        <v>36</v>
      </c>
      <c r="I50" s="1" t="s">
        <v>8</v>
      </c>
      <c r="J50" s="1" t="b">
        <f ca="1">AND(Table1[[#This Row],[Status]]&lt;&gt;"Completed",Table1[[#This Row],[Due Date]]&lt;TODAY())</f>
        <v>0</v>
      </c>
      <c r="K50" t="s">
        <v>133</v>
      </c>
    </row>
    <row r="51" spans="2:11">
      <c r="B51" s="1" t="s">
        <v>134</v>
      </c>
      <c r="C51" t="s">
        <v>135</v>
      </c>
      <c r="D51" t="s">
        <v>57</v>
      </c>
      <c r="E51" t="s">
        <v>19</v>
      </c>
      <c r="F51" s="2">
        <v>46244</v>
      </c>
      <c r="G51" s="2">
        <v>46267</v>
      </c>
      <c r="H51" s="6">
        <f>Table1[[#This Row],[Due Date]]-Table1[[#This Row],[Start Date]]</f>
        <v>23</v>
      </c>
      <c r="I51" s="1" t="s">
        <v>16</v>
      </c>
      <c r="J51" s="1" t="b">
        <f ca="1">AND(Table1[[#This Row],[Status]]&lt;&gt;"Completed",Table1[[#This Row],[Due Date]]&lt;TODAY())</f>
        <v>0</v>
      </c>
      <c r="K51" t="s">
        <v>136</v>
      </c>
    </row>
    <row r="52" spans="2:11">
      <c r="B52" s="1" t="s">
        <v>137</v>
      </c>
      <c r="C52" t="s">
        <v>138</v>
      </c>
      <c r="D52" t="s">
        <v>57</v>
      </c>
      <c r="E52" t="s">
        <v>26</v>
      </c>
      <c r="F52" s="2">
        <v>46299</v>
      </c>
      <c r="G52" s="2">
        <v>46317</v>
      </c>
      <c r="H52" s="6">
        <f>Table1[[#This Row],[Due Date]]-Table1[[#This Row],[Start Date]]</f>
        <v>18</v>
      </c>
      <c r="I52" s="1" t="s">
        <v>9</v>
      </c>
      <c r="J52" s="1" t="b">
        <f ca="1">AND(Table1[[#This Row],[Status]]&lt;&gt;"Completed",Table1[[#This Row],[Due Date]]&lt;TODAY())</f>
        <v>0</v>
      </c>
      <c r="K52" t="s">
        <v>139</v>
      </c>
    </row>
    <row r="53" spans="2:11">
      <c r="B53" s="1" t="s">
        <v>140</v>
      </c>
      <c r="C53" t="s">
        <v>141</v>
      </c>
      <c r="D53" t="s">
        <v>57</v>
      </c>
      <c r="E53" t="s">
        <v>30</v>
      </c>
      <c r="F53" s="2">
        <v>46270</v>
      </c>
      <c r="G53" s="2">
        <v>46315</v>
      </c>
      <c r="H53" s="6">
        <f>Table1[[#This Row],[Due Date]]-Table1[[#This Row],[Start Date]]</f>
        <v>45</v>
      </c>
      <c r="I53" s="1" t="s">
        <v>8</v>
      </c>
      <c r="J53" s="1" t="b">
        <f ca="1">AND(Table1[[#This Row],[Status]]&lt;&gt;"Completed",Table1[[#This Row],[Due Date]]&lt;TODAY())</f>
        <v>0</v>
      </c>
      <c r="K53" t="s">
        <v>142</v>
      </c>
    </row>
    <row r="54" spans="2:11">
      <c r="B54" s="1" t="s">
        <v>143</v>
      </c>
      <c r="C54" t="s">
        <v>144</v>
      </c>
      <c r="D54" t="s">
        <v>57</v>
      </c>
      <c r="E54" t="s">
        <v>34</v>
      </c>
      <c r="F54" s="2">
        <v>46259</v>
      </c>
      <c r="G54" s="2">
        <v>46285</v>
      </c>
      <c r="H54" s="6">
        <f>Table1[[#This Row],[Due Date]]-Table1[[#This Row],[Start Date]]</f>
        <v>26</v>
      </c>
      <c r="I54" s="1" t="s">
        <v>16</v>
      </c>
      <c r="J54" s="1" t="b">
        <f ca="1">AND(Table1[[#This Row],[Status]]&lt;&gt;"Completed",Table1[[#This Row],[Due Date]]&lt;TODAY())</f>
        <v>0</v>
      </c>
      <c r="K54" t="s">
        <v>145</v>
      </c>
    </row>
    <row r="55" spans="2:11">
      <c r="B55" s="1" t="s">
        <v>146</v>
      </c>
      <c r="C55" t="s">
        <v>147</v>
      </c>
      <c r="D55" t="s">
        <v>57</v>
      </c>
      <c r="E55" t="s">
        <v>15</v>
      </c>
      <c r="F55" s="2">
        <v>46283</v>
      </c>
      <c r="G55" s="2">
        <v>46325</v>
      </c>
      <c r="H55" s="6">
        <f>Table1[[#This Row],[Due Date]]-Table1[[#This Row],[Start Date]]</f>
        <v>42</v>
      </c>
      <c r="I55" s="1" t="s">
        <v>8</v>
      </c>
      <c r="J55" s="1" t="b">
        <f ca="1">AND(Table1[[#This Row],[Status]]&lt;&gt;"Completed",Table1[[#This Row],[Due Date]]&lt;TODAY())</f>
        <v>0</v>
      </c>
      <c r="K55" t="s">
        <v>148</v>
      </c>
    </row>
    <row r="56" spans="2:11">
      <c r="B56" s="1" t="s">
        <v>149</v>
      </c>
      <c r="C56" t="s">
        <v>150</v>
      </c>
      <c r="D56" t="s">
        <v>57</v>
      </c>
      <c r="E56" t="s">
        <v>19</v>
      </c>
      <c r="F56" s="2">
        <v>46238</v>
      </c>
      <c r="G56" s="2">
        <v>46266</v>
      </c>
      <c r="H56" s="6">
        <f>Table1[[#This Row],[Due Date]]-Table1[[#This Row],[Start Date]]</f>
        <v>28</v>
      </c>
      <c r="I56" s="1" t="s">
        <v>16</v>
      </c>
      <c r="J56" s="1" t="b">
        <f ca="1">AND(Table1[[#This Row],[Status]]&lt;&gt;"Completed",Table1[[#This Row],[Due Date]]&lt;TODAY())</f>
        <v>0</v>
      </c>
      <c r="K56" t="s">
        <v>151</v>
      </c>
    </row>
    <row r="57" spans="2:11">
      <c r="B57" s="1" t="s">
        <v>152</v>
      </c>
      <c r="C57" t="s">
        <v>153</v>
      </c>
      <c r="D57" t="s">
        <v>57</v>
      </c>
      <c r="E57" t="s">
        <v>26</v>
      </c>
      <c r="F57" s="2">
        <v>46297</v>
      </c>
      <c r="G57" s="2">
        <v>46334</v>
      </c>
      <c r="H57" s="6">
        <f>Table1[[#This Row],[Due Date]]-Table1[[#This Row],[Start Date]]</f>
        <v>37</v>
      </c>
      <c r="I57" s="1" t="s">
        <v>9</v>
      </c>
      <c r="J57" s="1" t="b">
        <f ca="1">AND(Table1[[#This Row],[Status]]&lt;&gt;"Completed",Table1[[#This Row],[Due Date]]&lt;TODAY())</f>
        <v>0</v>
      </c>
      <c r="K57" t="s">
        <v>154</v>
      </c>
    </row>
    <row r="58" spans="2:11">
      <c r="B58" s="1" t="s">
        <v>155</v>
      </c>
      <c r="C58" t="s">
        <v>156</v>
      </c>
      <c r="D58" t="s">
        <v>57</v>
      </c>
      <c r="E58" t="s">
        <v>30</v>
      </c>
      <c r="F58" s="2">
        <v>46273</v>
      </c>
      <c r="G58" s="2">
        <v>46323</v>
      </c>
      <c r="H58" s="6">
        <f>Table1[[#This Row],[Due Date]]-Table1[[#This Row],[Start Date]]</f>
        <v>50</v>
      </c>
      <c r="I58" s="1" t="s">
        <v>8</v>
      </c>
      <c r="J58" s="1" t="b">
        <f ca="1">AND(Table1[[#This Row],[Status]]&lt;&gt;"Completed",Table1[[#This Row],[Due Date]]&lt;TODAY())</f>
        <v>0</v>
      </c>
      <c r="K58" t="s">
        <v>157</v>
      </c>
    </row>
    <row r="59" spans="2:11">
      <c r="B59" s="1" t="s">
        <v>158</v>
      </c>
      <c r="C59" t="s">
        <v>159</v>
      </c>
      <c r="D59" t="s">
        <v>66</v>
      </c>
      <c r="E59" t="s">
        <v>15</v>
      </c>
      <c r="F59" s="2">
        <v>46266</v>
      </c>
      <c r="G59" s="2">
        <v>46277</v>
      </c>
      <c r="H59" s="6">
        <f>Table1[[#This Row],[Due Date]]-Table1[[#This Row],[Start Date]]</f>
        <v>11</v>
      </c>
      <c r="I59" s="1" t="s">
        <v>16</v>
      </c>
      <c r="J59" s="1" t="b">
        <f ca="1">AND(Table1[[#This Row],[Status]]&lt;&gt;"Completed",Table1[[#This Row],[Due Date]]&lt;TODAY())</f>
        <v>0</v>
      </c>
      <c r="K59" t="s">
        <v>160</v>
      </c>
    </row>
    <row r="60" spans="2:11">
      <c r="B60" s="1" t="s">
        <v>161</v>
      </c>
      <c r="C60" t="s">
        <v>162</v>
      </c>
      <c r="D60" t="s">
        <v>66</v>
      </c>
      <c r="E60" t="s">
        <v>19</v>
      </c>
      <c r="F60" s="2">
        <v>46244</v>
      </c>
      <c r="G60" s="2">
        <v>46270</v>
      </c>
      <c r="H60" s="6">
        <f>Table1[[#This Row],[Due Date]]-Table1[[#This Row],[Start Date]]</f>
        <v>26</v>
      </c>
      <c r="I60" s="1" t="s">
        <v>16</v>
      </c>
      <c r="J60" s="1" t="b">
        <f ca="1">AND(Table1[[#This Row],[Status]]&lt;&gt;"Completed",Table1[[#This Row],[Due Date]]&lt;TODAY())</f>
        <v>0</v>
      </c>
      <c r="K60" t="s">
        <v>163</v>
      </c>
    </row>
    <row r="61" spans="2:11">
      <c r="B61" s="1" t="s">
        <v>164</v>
      </c>
      <c r="C61" t="s">
        <v>165</v>
      </c>
      <c r="D61" t="s">
        <v>66</v>
      </c>
      <c r="E61" t="s">
        <v>26</v>
      </c>
      <c r="F61" s="2">
        <v>46280</v>
      </c>
      <c r="G61" s="2">
        <v>46320</v>
      </c>
      <c r="H61" s="6">
        <f>Table1[[#This Row],[Due Date]]-Table1[[#This Row],[Start Date]]</f>
        <v>40</v>
      </c>
      <c r="I61" s="1" t="s">
        <v>8</v>
      </c>
      <c r="J61" s="1" t="b">
        <f ca="1">AND(Table1[[#This Row],[Status]]&lt;&gt;"Completed",Table1[[#This Row],[Due Date]]&lt;TODAY())</f>
        <v>0</v>
      </c>
      <c r="K61" t="s">
        <v>166</v>
      </c>
    </row>
    <row r="62" spans="2:11">
      <c r="B62" s="1" t="s">
        <v>167</v>
      </c>
      <c r="C62" t="s">
        <v>168</v>
      </c>
      <c r="D62" t="s">
        <v>66</v>
      </c>
      <c r="E62" t="s">
        <v>30</v>
      </c>
      <c r="F62" s="2">
        <v>46297</v>
      </c>
      <c r="G62" s="2">
        <v>46325</v>
      </c>
      <c r="H62" s="6">
        <f>Table1[[#This Row],[Due Date]]-Table1[[#This Row],[Start Date]]</f>
        <v>28</v>
      </c>
      <c r="I62" s="1" t="s">
        <v>9</v>
      </c>
      <c r="J62" s="1" t="b">
        <f ca="1">AND(Table1[[#This Row],[Status]]&lt;&gt;"Completed",Table1[[#This Row],[Due Date]]&lt;TODAY())</f>
        <v>0</v>
      </c>
      <c r="K62" t="s">
        <v>169</v>
      </c>
    </row>
    <row r="63" spans="2:11">
      <c r="B63" s="1" t="s">
        <v>170</v>
      </c>
      <c r="C63" t="s">
        <v>171</v>
      </c>
      <c r="D63" t="s">
        <v>66</v>
      </c>
      <c r="E63" t="s">
        <v>34</v>
      </c>
      <c r="F63" s="2">
        <v>46252</v>
      </c>
      <c r="G63" s="2">
        <v>46285</v>
      </c>
      <c r="H63" s="6">
        <f>Table1[[#This Row],[Due Date]]-Table1[[#This Row],[Start Date]]</f>
        <v>33</v>
      </c>
      <c r="I63" s="1" t="s">
        <v>16</v>
      </c>
      <c r="J63" s="1" t="b">
        <f ca="1">AND(Table1[[#This Row],[Status]]&lt;&gt;"Completed",Table1[[#This Row],[Due Date]]&lt;TODAY())</f>
        <v>0</v>
      </c>
      <c r="K63" t="s">
        <v>172</v>
      </c>
    </row>
    <row r="64" spans="2:11">
      <c r="B64" s="1" t="s">
        <v>173</v>
      </c>
      <c r="C64" t="s">
        <v>174</v>
      </c>
      <c r="D64" t="s">
        <v>66</v>
      </c>
      <c r="E64" t="s">
        <v>15</v>
      </c>
      <c r="F64" s="2">
        <v>46285</v>
      </c>
      <c r="G64" s="2">
        <v>46310</v>
      </c>
      <c r="H64" s="6">
        <f>Table1[[#This Row],[Due Date]]-Table1[[#This Row],[Start Date]]</f>
        <v>25</v>
      </c>
      <c r="I64" s="1" t="s">
        <v>8</v>
      </c>
      <c r="J64" s="1" t="b">
        <f ca="1">AND(Table1[[#This Row],[Status]]&lt;&gt;"Completed",Table1[[#This Row],[Due Date]]&lt;TODAY())</f>
        <v>0</v>
      </c>
      <c r="K64" t="s">
        <v>175</v>
      </c>
    </row>
    <row r="65" spans="2:11">
      <c r="B65" s="1" t="s">
        <v>176</v>
      </c>
      <c r="C65" t="s">
        <v>177</v>
      </c>
      <c r="D65" t="s">
        <v>66</v>
      </c>
      <c r="E65" t="s">
        <v>19</v>
      </c>
      <c r="F65" s="2">
        <v>46239</v>
      </c>
      <c r="G65" s="2">
        <v>46275</v>
      </c>
      <c r="H65" s="6">
        <f>Table1[[#This Row],[Due Date]]-Table1[[#This Row],[Start Date]]</f>
        <v>36</v>
      </c>
      <c r="I65" s="1" t="s">
        <v>16</v>
      </c>
      <c r="J65" s="1" t="b">
        <f ca="1">AND(Table1[[#This Row],[Status]]&lt;&gt;"Completed",Table1[[#This Row],[Due Date]]&lt;TODAY())</f>
        <v>0</v>
      </c>
      <c r="K65" t="s">
        <v>178</v>
      </c>
    </row>
    <row r="66" spans="2:11">
      <c r="B66" s="1" t="s">
        <v>179</v>
      </c>
      <c r="C66" t="s">
        <v>180</v>
      </c>
      <c r="D66" t="s">
        <v>66</v>
      </c>
      <c r="E66" t="s">
        <v>26</v>
      </c>
      <c r="F66" s="2">
        <v>46300</v>
      </c>
      <c r="G66" s="2">
        <v>46344</v>
      </c>
      <c r="H66" s="6">
        <f>Table1[[#This Row],[Due Date]]-Table1[[#This Row],[Start Date]]</f>
        <v>44</v>
      </c>
      <c r="I66" s="1" t="s">
        <v>9</v>
      </c>
      <c r="J66" s="1" t="b">
        <f ca="1">AND(Table1[[#This Row],[Status]]&lt;&gt;"Completed",Table1[[#This Row],[Due Date]]&lt;TODAY())</f>
        <v>0</v>
      </c>
      <c r="K66" t="s">
        <v>181</v>
      </c>
    </row>
    <row r="67" spans="2:11">
      <c r="B67" s="1" t="s">
        <v>182</v>
      </c>
      <c r="C67" t="s">
        <v>183</v>
      </c>
      <c r="D67" t="s">
        <v>66</v>
      </c>
      <c r="E67" t="s">
        <v>30</v>
      </c>
      <c r="F67" s="2">
        <v>46267</v>
      </c>
      <c r="G67" s="2">
        <v>46300</v>
      </c>
      <c r="H67" s="6">
        <f>Table1[[#This Row],[Due Date]]-Table1[[#This Row],[Start Date]]</f>
        <v>33</v>
      </c>
      <c r="I67" s="1" t="s">
        <v>8</v>
      </c>
      <c r="J67" s="1" t="b">
        <f ca="1">AND(Table1[[#This Row],[Status]]&lt;&gt;"Completed",Table1[[#This Row],[Due Date]]&lt;TODAY())</f>
        <v>1</v>
      </c>
      <c r="K67" t="s">
        <v>184</v>
      </c>
    </row>
    <row r="68" spans="2:11">
      <c r="B68" s="1" t="s">
        <v>185</v>
      </c>
      <c r="C68" t="s">
        <v>186</v>
      </c>
      <c r="D68" t="s">
        <v>66</v>
      </c>
      <c r="E68" t="s">
        <v>34</v>
      </c>
      <c r="F68" s="2">
        <v>46246</v>
      </c>
      <c r="G68" s="2">
        <v>46287</v>
      </c>
      <c r="H68" s="6">
        <f>Table1[[#This Row],[Due Date]]-Table1[[#This Row],[Start Date]]</f>
        <v>41</v>
      </c>
      <c r="I68" s="1" t="s">
        <v>16</v>
      </c>
      <c r="J68" s="1" t="b">
        <f ca="1">AND(Table1[[#This Row],[Status]]&lt;&gt;"Completed",Table1[[#This Row],[Due Date]]&lt;TODAY())</f>
        <v>0</v>
      </c>
      <c r="K68" t="s">
        <v>187</v>
      </c>
    </row>
    <row r="69" spans="2:11">
      <c r="B69" s="1" t="s">
        <v>188</v>
      </c>
      <c r="C69" t="s">
        <v>189</v>
      </c>
      <c r="D69" t="s">
        <v>66</v>
      </c>
      <c r="E69" t="s">
        <v>15</v>
      </c>
      <c r="F69" s="2">
        <v>46290</v>
      </c>
      <c r="G69" s="2">
        <v>46346</v>
      </c>
      <c r="H69" s="6">
        <f>Table1[[#This Row],[Due Date]]-Table1[[#This Row],[Start Date]]</f>
        <v>56</v>
      </c>
      <c r="I69" s="1" t="s">
        <v>8</v>
      </c>
      <c r="J69" s="1" t="b">
        <f ca="1">AND(Table1[[#This Row],[Status]]&lt;&gt;"Completed",Table1[[#This Row],[Due Date]]&lt;TODAY())</f>
        <v>0</v>
      </c>
      <c r="K69" t="s">
        <v>190</v>
      </c>
    </row>
    <row r="70" spans="2:11">
      <c r="B70" s="1" t="s">
        <v>191</v>
      </c>
      <c r="C70" t="s">
        <v>192</v>
      </c>
      <c r="D70" t="s">
        <v>66</v>
      </c>
      <c r="E70" t="s">
        <v>19</v>
      </c>
      <c r="F70" s="2">
        <v>46298</v>
      </c>
      <c r="G70" s="2">
        <v>46331</v>
      </c>
      <c r="H70" s="6">
        <f>Table1[[#This Row],[Due Date]]-Table1[[#This Row],[Start Date]]</f>
        <v>33</v>
      </c>
      <c r="I70" s="1" t="s">
        <v>9</v>
      </c>
      <c r="J70" s="1" t="b">
        <f ca="1">AND(Table1[[#This Row],[Status]]&lt;&gt;"Completed",Table1[[#This Row],[Due Date]]&lt;TODAY())</f>
        <v>0</v>
      </c>
      <c r="K70" t="s">
        <v>193</v>
      </c>
    </row>
    <row r="71" spans="2:11">
      <c r="B71" s="1" t="s">
        <v>194</v>
      </c>
      <c r="C71" t="s">
        <v>195</v>
      </c>
      <c r="D71" t="s">
        <v>66</v>
      </c>
      <c r="E71" t="s">
        <v>26</v>
      </c>
      <c r="F71" s="2">
        <v>46254</v>
      </c>
      <c r="G71" s="2">
        <v>46290</v>
      </c>
      <c r="H71" s="6">
        <f>Table1[[#This Row],[Due Date]]-Table1[[#This Row],[Start Date]]</f>
        <v>36</v>
      </c>
      <c r="I71" s="1" t="s">
        <v>16</v>
      </c>
      <c r="J71" s="1" t="b">
        <f ca="1">AND(Table1[[#This Row],[Status]]&lt;&gt;"Completed",Table1[[#This Row],[Due Date]]&lt;TODAY())</f>
        <v>0</v>
      </c>
      <c r="K71" t="s">
        <v>196</v>
      </c>
    </row>
    <row r="72" spans="2:11">
      <c r="B72" s="1" t="s">
        <v>197</v>
      </c>
      <c r="C72" t="s">
        <v>198</v>
      </c>
      <c r="D72" t="s">
        <v>66</v>
      </c>
      <c r="E72" t="s">
        <v>30</v>
      </c>
      <c r="F72" s="2">
        <v>46273</v>
      </c>
      <c r="G72" s="2">
        <v>46296</v>
      </c>
      <c r="H72" s="6">
        <f>Table1[[#This Row],[Due Date]]-Table1[[#This Row],[Start Date]]</f>
        <v>23</v>
      </c>
      <c r="I72" s="1" t="s">
        <v>8</v>
      </c>
      <c r="J72" s="1" t="b">
        <f ca="1">AND(Table1[[#This Row],[Status]]&lt;&gt;"Completed",Table1[[#This Row],[Due Date]]&lt;TODAY())</f>
        <v>1</v>
      </c>
      <c r="K72" t="s">
        <v>199</v>
      </c>
    </row>
    <row r="73" spans="2:11">
      <c r="B73" s="1" t="s">
        <v>200</v>
      </c>
      <c r="C73" t="s">
        <v>201</v>
      </c>
      <c r="D73" t="s">
        <v>40</v>
      </c>
      <c r="E73" t="s">
        <v>15</v>
      </c>
      <c r="F73" s="2">
        <v>46266</v>
      </c>
      <c r="G73" s="2">
        <v>46295</v>
      </c>
      <c r="H73" s="6">
        <f>Table1[[#This Row],[Due Date]]-Table1[[#This Row],[Start Date]]</f>
        <v>29</v>
      </c>
      <c r="I73" s="1" t="s">
        <v>16</v>
      </c>
      <c r="J73" s="1" t="b">
        <f ca="1">AND(Table1[[#This Row],[Status]]&lt;&gt;"Completed",Table1[[#This Row],[Due Date]]&lt;TODAY())</f>
        <v>0</v>
      </c>
      <c r="K73" t="s">
        <v>202</v>
      </c>
    </row>
    <row r="74" spans="2:11">
      <c r="B74" s="1" t="s">
        <v>203</v>
      </c>
      <c r="C74" t="s">
        <v>204</v>
      </c>
      <c r="D74" t="s">
        <v>40</v>
      </c>
      <c r="E74" t="s">
        <v>19</v>
      </c>
      <c r="F74" s="2">
        <v>46246</v>
      </c>
      <c r="G74" s="2">
        <v>46275</v>
      </c>
      <c r="H74" s="6">
        <f>Table1[[#This Row],[Due Date]]-Table1[[#This Row],[Start Date]]</f>
        <v>29</v>
      </c>
      <c r="I74" s="1" t="s">
        <v>16</v>
      </c>
      <c r="J74" s="1" t="b">
        <f ca="1">AND(Table1[[#This Row],[Status]]&lt;&gt;"Completed",Table1[[#This Row],[Due Date]]&lt;TODAY())</f>
        <v>0</v>
      </c>
      <c r="K74" t="s">
        <v>205</v>
      </c>
    </row>
    <row r="75" spans="2:11">
      <c r="B75" s="1" t="s">
        <v>206</v>
      </c>
      <c r="C75" t="s">
        <v>207</v>
      </c>
      <c r="D75" t="s">
        <v>40</v>
      </c>
      <c r="E75" t="s">
        <v>26</v>
      </c>
      <c r="F75" s="2">
        <v>46283</v>
      </c>
      <c r="G75" s="2">
        <v>46320</v>
      </c>
      <c r="H75" s="6">
        <f>Table1[[#This Row],[Due Date]]-Table1[[#This Row],[Start Date]]</f>
        <v>37</v>
      </c>
      <c r="I75" s="1" t="s">
        <v>8</v>
      </c>
      <c r="J75" s="1" t="b">
        <f ca="1">AND(Table1[[#This Row],[Status]]&lt;&gt;"Completed",Table1[[#This Row],[Due Date]]&lt;TODAY())</f>
        <v>0</v>
      </c>
      <c r="K75" t="s">
        <v>208</v>
      </c>
    </row>
    <row r="76" spans="2:11">
      <c r="B76" s="1" t="s">
        <v>209</v>
      </c>
      <c r="C76" t="s">
        <v>210</v>
      </c>
      <c r="D76" t="s">
        <v>40</v>
      </c>
      <c r="E76" t="s">
        <v>30</v>
      </c>
      <c r="F76" s="2">
        <v>46298</v>
      </c>
      <c r="G76" s="2">
        <v>46323</v>
      </c>
      <c r="H76" s="6">
        <f>Table1[[#This Row],[Due Date]]-Table1[[#This Row],[Start Date]]</f>
        <v>25</v>
      </c>
      <c r="I76" s="1" t="s">
        <v>9</v>
      </c>
      <c r="J76" s="1" t="b">
        <f ca="1">AND(Table1[[#This Row],[Status]]&lt;&gt;"Completed",Table1[[#This Row],[Due Date]]&lt;TODAY())</f>
        <v>0</v>
      </c>
      <c r="K76" t="s">
        <v>211</v>
      </c>
    </row>
    <row r="77" spans="2:11">
      <c r="B77" s="1" t="s">
        <v>212</v>
      </c>
      <c r="C77" t="s">
        <v>213</v>
      </c>
      <c r="D77" t="s">
        <v>40</v>
      </c>
      <c r="E77" t="s">
        <v>34</v>
      </c>
      <c r="F77" s="2">
        <v>46249</v>
      </c>
      <c r="G77" s="2">
        <v>46283</v>
      </c>
      <c r="H77" s="6">
        <f>Table1[[#This Row],[Due Date]]-Table1[[#This Row],[Start Date]]</f>
        <v>34</v>
      </c>
      <c r="I77" s="1" t="s">
        <v>16</v>
      </c>
      <c r="J77" s="1" t="b">
        <f ca="1">AND(Table1[[#This Row],[Status]]&lt;&gt;"Completed",Table1[[#This Row],[Due Date]]&lt;TODAY())</f>
        <v>0</v>
      </c>
      <c r="K77" t="s">
        <v>214</v>
      </c>
    </row>
    <row r="78" spans="2:11">
      <c r="B78" s="1" t="s">
        <v>215</v>
      </c>
      <c r="C78" t="s">
        <v>216</v>
      </c>
      <c r="D78" t="s">
        <v>40</v>
      </c>
      <c r="E78" t="s">
        <v>15</v>
      </c>
      <c r="F78" s="2">
        <v>46287</v>
      </c>
      <c r="G78" s="2">
        <v>46307</v>
      </c>
      <c r="H78" s="6">
        <f>Table1[[#This Row],[Due Date]]-Table1[[#This Row],[Start Date]]</f>
        <v>20</v>
      </c>
      <c r="I78" s="1" t="s">
        <v>8</v>
      </c>
      <c r="J78" s="1" t="b">
        <f ca="1">AND(Table1[[#This Row],[Status]]&lt;&gt;"Completed",Table1[[#This Row],[Due Date]]&lt;TODAY())</f>
        <v>0</v>
      </c>
      <c r="K78" t="s">
        <v>217</v>
      </c>
    </row>
    <row r="79" spans="2:11">
      <c r="B79" s="1" t="s">
        <v>218</v>
      </c>
      <c r="C79" t="s">
        <v>219</v>
      </c>
      <c r="D79" t="s">
        <v>40</v>
      </c>
      <c r="E79" t="s">
        <v>19</v>
      </c>
      <c r="F79" s="2">
        <v>46239</v>
      </c>
      <c r="G79" s="2">
        <v>46267</v>
      </c>
      <c r="H79" s="6">
        <f>Table1[[#This Row],[Due Date]]-Table1[[#This Row],[Start Date]]</f>
        <v>28</v>
      </c>
      <c r="I79" s="1" t="s">
        <v>16</v>
      </c>
      <c r="J79" s="1" t="b">
        <f ca="1">AND(Table1[[#This Row],[Status]]&lt;&gt;"Completed",Table1[[#This Row],[Due Date]]&lt;TODAY())</f>
        <v>0</v>
      </c>
      <c r="K79" t="s">
        <v>220</v>
      </c>
    </row>
    <row r="80" spans="2:11">
      <c r="B80" s="1" t="s">
        <v>221</v>
      </c>
      <c r="C80" t="s">
        <v>222</v>
      </c>
      <c r="D80" t="s">
        <v>40</v>
      </c>
      <c r="E80" t="s">
        <v>26</v>
      </c>
      <c r="F80" s="2">
        <v>46296</v>
      </c>
      <c r="G80" s="2">
        <v>46319</v>
      </c>
      <c r="H80" s="6">
        <f>Table1[[#This Row],[Due Date]]-Table1[[#This Row],[Start Date]]</f>
        <v>23</v>
      </c>
      <c r="I80" s="1" t="s">
        <v>9</v>
      </c>
      <c r="J80" s="1" t="b">
        <f ca="1">AND(Table1[[#This Row],[Status]]&lt;&gt;"Completed",Table1[[#This Row],[Due Date]]&lt;TODAY())</f>
        <v>0</v>
      </c>
      <c r="K80" t="s">
        <v>223</v>
      </c>
    </row>
    <row r="81" spans="2:11">
      <c r="B81" s="1" t="s">
        <v>224</v>
      </c>
      <c r="C81" t="s">
        <v>225</v>
      </c>
      <c r="D81" t="s">
        <v>40</v>
      </c>
      <c r="E81" t="s">
        <v>30</v>
      </c>
      <c r="F81" s="2">
        <v>46270</v>
      </c>
      <c r="G81" s="2">
        <v>46300</v>
      </c>
      <c r="H81" s="6">
        <f>Table1[[#This Row],[Due Date]]-Table1[[#This Row],[Start Date]]</f>
        <v>30</v>
      </c>
      <c r="I81" s="1" t="s">
        <v>8</v>
      </c>
      <c r="J81" s="1" t="b">
        <f ca="1">AND(Table1[[#This Row],[Status]]&lt;&gt;"Completed",Table1[[#This Row],[Due Date]]&lt;TODAY())</f>
        <v>1</v>
      </c>
      <c r="K81" t="s">
        <v>226</v>
      </c>
    </row>
    <row r="82" spans="2:11">
      <c r="B82" s="1" t="s">
        <v>227</v>
      </c>
      <c r="C82" t="s">
        <v>228</v>
      </c>
      <c r="D82" t="s">
        <v>40</v>
      </c>
      <c r="E82" t="s">
        <v>34</v>
      </c>
      <c r="F82" s="2">
        <v>46254</v>
      </c>
      <c r="G82" s="2">
        <v>46290</v>
      </c>
      <c r="H82" s="6">
        <f>Table1[[#This Row],[Due Date]]-Table1[[#This Row],[Start Date]]</f>
        <v>36</v>
      </c>
      <c r="I82" s="1" t="s">
        <v>16</v>
      </c>
      <c r="J82" s="1" t="b">
        <f ca="1">AND(Table1[[#This Row],[Status]]&lt;&gt;"Completed",Table1[[#This Row],[Due Date]]&lt;TODAY())</f>
        <v>0</v>
      </c>
      <c r="K82" t="s">
        <v>229</v>
      </c>
    </row>
    <row r="83" spans="2:11">
      <c r="B83" s="1" t="s">
        <v>230</v>
      </c>
      <c r="C83" t="s">
        <v>231</v>
      </c>
      <c r="D83" t="s">
        <v>40</v>
      </c>
      <c r="E83" t="s">
        <v>15</v>
      </c>
      <c r="F83" s="2">
        <v>46275</v>
      </c>
      <c r="G83" s="2">
        <v>46325</v>
      </c>
      <c r="H83" s="6">
        <f>Table1[[#This Row],[Due Date]]-Table1[[#This Row],[Start Date]]</f>
        <v>50</v>
      </c>
      <c r="I83" s="1" t="s">
        <v>8</v>
      </c>
      <c r="J83" s="1" t="b">
        <f ca="1">AND(Table1[[#This Row],[Status]]&lt;&gt;"Completed",Table1[[#This Row],[Due Date]]&lt;TODAY())</f>
        <v>0</v>
      </c>
      <c r="K83" t="s">
        <v>232</v>
      </c>
    </row>
    <row r="84" spans="2:11">
      <c r="B84" s="1" t="s">
        <v>233</v>
      </c>
      <c r="C84" t="s">
        <v>234</v>
      </c>
      <c r="D84" t="s">
        <v>40</v>
      </c>
      <c r="E84" t="s">
        <v>19</v>
      </c>
      <c r="F84" s="2">
        <v>46252</v>
      </c>
      <c r="G84" s="2">
        <v>46285</v>
      </c>
      <c r="H84" s="6">
        <f>Table1[[#This Row],[Due Date]]-Table1[[#This Row],[Start Date]]</f>
        <v>33</v>
      </c>
      <c r="I84" s="1" t="s">
        <v>16</v>
      </c>
      <c r="J84" s="1" t="b">
        <f ca="1">AND(Table1[[#This Row],[Status]]&lt;&gt;"Completed",Table1[[#This Row],[Due Date]]&lt;TODAY())</f>
        <v>0</v>
      </c>
      <c r="K84" t="s">
        <v>235</v>
      </c>
    </row>
    <row r="85" spans="2:11">
      <c r="B85" s="1" t="s">
        <v>236</v>
      </c>
      <c r="C85" t="s">
        <v>237</v>
      </c>
      <c r="D85" t="s">
        <v>40</v>
      </c>
      <c r="E85" t="s">
        <v>26</v>
      </c>
      <c r="F85" s="2">
        <v>46299</v>
      </c>
      <c r="G85" s="2">
        <v>46338</v>
      </c>
      <c r="H85" s="6">
        <f>Table1[[#This Row],[Due Date]]-Table1[[#This Row],[Start Date]]</f>
        <v>39</v>
      </c>
      <c r="I85" s="1" t="s">
        <v>9</v>
      </c>
      <c r="J85" s="1" t="b">
        <f ca="1">AND(Table1[[#This Row],[Status]]&lt;&gt;"Completed",Table1[[#This Row],[Due Date]]&lt;TODAY())</f>
        <v>0</v>
      </c>
      <c r="K85" t="s">
        <v>238</v>
      </c>
    </row>
    <row r="86" spans="2:11">
      <c r="B86" s="1" t="s">
        <v>239</v>
      </c>
      <c r="C86" t="s">
        <v>240</v>
      </c>
      <c r="D86" t="s">
        <v>40</v>
      </c>
      <c r="E86" t="s">
        <v>30</v>
      </c>
      <c r="F86" s="2">
        <v>46277</v>
      </c>
      <c r="G86" s="2">
        <v>46315</v>
      </c>
      <c r="H86" s="6">
        <f>Table1[[#This Row],[Due Date]]-Table1[[#This Row],[Start Date]]</f>
        <v>38</v>
      </c>
      <c r="I86" s="1" t="s">
        <v>8</v>
      </c>
      <c r="J86" s="1" t="b">
        <f ca="1">AND(Table1[[#This Row],[Status]]&lt;&gt;"Completed",Table1[[#This Row],[Due Date]]&lt;TODAY())</f>
        <v>0</v>
      </c>
      <c r="K86" t="s">
        <v>241</v>
      </c>
    </row>
    <row r="87" spans="2:11">
      <c r="B87" s="1" t="s">
        <v>242</v>
      </c>
      <c r="C87" t="s">
        <v>243</v>
      </c>
      <c r="D87" t="s">
        <v>65</v>
      </c>
      <c r="E87" t="s">
        <v>34</v>
      </c>
      <c r="F87" s="2">
        <v>46267</v>
      </c>
      <c r="G87" s="2">
        <v>46293</v>
      </c>
      <c r="H87" s="6">
        <f>Table1[[#This Row],[Due Date]]-Table1[[#This Row],[Start Date]]</f>
        <v>26</v>
      </c>
      <c r="I87" s="1" t="s">
        <v>16</v>
      </c>
      <c r="J87" s="1" t="b">
        <f ca="1">AND(Table1[[#This Row],[Status]]&lt;&gt;"Completed",Table1[[#This Row],[Due Date]]&lt;TODAY())</f>
        <v>0</v>
      </c>
      <c r="K87" t="s">
        <v>244</v>
      </c>
    </row>
    <row r="88" spans="2:11">
      <c r="B88" s="1" t="s">
        <v>245</v>
      </c>
      <c r="C88" t="s">
        <v>246</v>
      </c>
      <c r="D88" t="s">
        <v>65</v>
      </c>
      <c r="E88" t="s">
        <v>15</v>
      </c>
      <c r="F88" s="2">
        <v>46275</v>
      </c>
      <c r="G88" s="2">
        <v>46313</v>
      </c>
      <c r="H88" s="6">
        <f>Table1[[#This Row],[Due Date]]-Table1[[#This Row],[Start Date]]</f>
        <v>38</v>
      </c>
      <c r="I88" s="1" t="s">
        <v>8</v>
      </c>
      <c r="J88" s="1" t="b">
        <f ca="1">AND(Table1[[#This Row],[Status]]&lt;&gt;"Completed",Table1[[#This Row],[Due Date]]&lt;TODAY())</f>
        <v>0</v>
      </c>
      <c r="K88" t="s">
        <v>247</v>
      </c>
    </row>
    <row r="89" spans="2:11">
      <c r="B89" s="1" t="s">
        <v>248</v>
      </c>
      <c r="C89" t="s">
        <v>249</v>
      </c>
      <c r="D89" t="s">
        <v>65</v>
      </c>
      <c r="E89" t="s">
        <v>19</v>
      </c>
      <c r="F89" s="2">
        <v>46297</v>
      </c>
      <c r="G89" s="2">
        <v>46336</v>
      </c>
      <c r="H89" s="6">
        <f>Table1[[#This Row],[Due Date]]-Table1[[#This Row],[Start Date]]</f>
        <v>39</v>
      </c>
      <c r="I89" s="1" t="s">
        <v>9</v>
      </c>
      <c r="J89" s="1" t="b">
        <f ca="1">AND(Table1[[#This Row],[Status]]&lt;&gt;"Completed",Table1[[#This Row],[Due Date]]&lt;TODAY())</f>
        <v>0</v>
      </c>
      <c r="K89" t="s">
        <v>250</v>
      </c>
    </row>
    <row r="90" spans="2:11">
      <c r="B90" s="1" t="s">
        <v>251</v>
      </c>
      <c r="C90" t="s">
        <v>252</v>
      </c>
      <c r="D90" t="s">
        <v>65</v>
      </c>
      <c r="E90" t="s">
        <v>26</v>
      </c>
      <c r="F90" s="2">
        <v>46246</v>
      </c>
      <c r="G90" s="2">
        <v>46273</v>
      </c>
      <c r="H90" s="6">
        <f>Table1[[#This Row],[Due Date]]-Table1[[#This Row],[Start Date]]</f>
        <v>27</v>
      </c>
      <c r="I90" s="1" t="s">
        <v>16</v>
      </c>
      <c r="J90" s="1" t="b">
        <f ca="1">AND(Table1[[#This Row],[Status]]&lt;&gt;"Completed",Table1[[#This Row],[Due Date]]&lt;TODAY())</f>
        <v>0</v>
      </c>
      <c r="K90" t="s">
        <v>253</v>
      </c>
    </row>
    <row r="91" spans="2:11">
      <c r="B91" s="1" t="s">
        <v>254</v>
      </c>
      <c r="C91" t="s">
        <v>255</v>
      </c>
      <c r="D91" t="s">
        <v>65</v>
      </c>
      <c r="E91" t="s">
        <v>30</v>
      </c>
      <c r="F91" s="2">
        <v>46290</v>
      </c>
      <c r="G91" s="2">
        <v>46309</v>
      </c>
      <c r="H91" s="6">
        <f>Table1[[#This Row],[Due Date]]-Table1[[#This Row],[Start Date]]</f>
        <v>19</v>
      </c>
      <c r="I91" s="1" t="s">
        <v>8</v>
      </c>
      <c r="J91" s="1" t="b">
        <f ca="1">AND(Table1[[#This Row],[Status]]&lt;&gt;"Completed",Table1[[#This Row],[Due Date]]&lt;TODAY())</f>
        <v>0</v>
      </c>
      <c r="K91" t="s">
        <v>256</v>
      </c>
    </row>
    <row r="92" spans="2:11">
      <c r="B92" s="1" t="s">
        <v>257</v>
      </c>
      <c r="C92" t="s">
        <v>258</v>
      </c>
      <c r="D92" t="s">
        <v>65</v>
      </c>
      <c r="E92" t="s">
        <v>34</v>
      </c>
      <c r="F92" s="2">
        <v>46300</v>
      </c>
      <c r="G92" s="2">
        <v>46317</v>
      </c>
      <c r="H92" s="6">
        <f>Table1[[#This Row],[Due Date]]-Table1[[#This Row],[Start Date]]</f>
        <v>17</v>
      </c>
      <c r="I92" s="1" t="s">
        <v>9</v>
      </c>
      <c r="J92" s="1" t="b">
        <f ca="1">AND(Table1[[#This Row],[Status]]&lt;&gt;"Completed",Table1[[#This Row],[Due Date]]&lt;TODAY())</f>
        <v>0</v>
      </c>
      <c r="K92" t="s">
        <v>259</v>
      </c>
    </row>
    <row r="93" spans="2:11">
      <c r="B93" s="1" t="s">
        <v>260</v>
      </c>
      <c r="C93" t="s">
        <v>261</v>
      </c>
      <c r="D93" t="s">
        <v>57</v>
      </c>
      <c r="E93" t="s">
        <v>15</v>
      </c>
      <c r="F93" s="2">
        <v>46266</v>
      </c>
      <c r="G93" s="2">
        <v>46307</v>
      </c>
      <c r="H93" s="6">
        <f>Table1[[#This Row],[Due Date]]-Table1[[#This Row],[Start Date]]</f>
        <v>41</v>
      </c>
      <c r="I93" s="1" t="s">
        <v>8</v>
      </c>
      <c r="J93" s="1" t="b">
        <f ca="1">AND(Table1[[#This Row],[Status]]&lt;&gt;"Completed",Table1[[#This Row],[Due Date]]&lt;TODAY())</f>
        <v>0</v>
      </c>
      <c r="K93" t="s">
        <v>262</v>
      </c>
    </row>
    <row r="94" spans="2:11">
      <c r="B94" s="1" t="s">
        <v>263</v>
      </c>
      <c r="C94" t="s">
        <v>264</v>
      </c>
      <c r="D94" t="s">
        <v>57</v>
      </c>
      <c r="E94" t="s">
        <v>19</v>
      </c>
      <c r="F94" s="2">
        <v>46242</v>
      </c>
      <c r="G94" s="2">
        <v>46267</v>
      </c>
      <c r="H94" s="6">
        <f>Table1[[#This Row],[Due Date]]-Table1[[#This Row],[Start Date]]</f>
        <v>25</v>
      </c>
      <c r="I94" s="1" t="s">
        <v>16</v>
      </c>
      <c r="J94" s="1" t="b">
        <f ca="1">AND(Table1[[#This Row],[Status]]&lt;&gt;"Completed",Table1[[#This Row],[Due Date]]&lt;TODAY())</f>
        <v>0</v>
      </c>
      <c r="K94" t="s">
        <v>265</v>
      </c>
    </row>
    <row r="95" spans="2:11">
      <c r="B95" s="1" t="s">
        <v>266</v>
      </c>
      <c r="C95" t="s">
        <v>267</v>
      </c>
      <c r="D95" t="s">
        <v>57</v>
      </c>
      <c r="E95" t="s">
        <v>26</v>
      </c>
      <c r="F95" s="2">
        <v>46285</v>
      </c>
      <c r="G95" s="2">
        <v>46325</v>
      </c>
      <c r="H95" s="6">
        <f>Table1[[#This Row],[Due Date]]-Table1[[#This Row],[Start Date]]</f>
        <v>40</v>
      </c>
      <c r="I95" s="1" t="s">
        <v>8</v>
      </c>
      <c r="J95" s="1" t="b">
        <f ca="1">AND(Table1[[#This Row],[Status]]&lt;&gt;"Completed",Table1[[#This Row],[Due Date]]&lt;TODAY())</f>
        <v>0</v>
      </c>
      <c r="K95" t="s">
        <v>268</v>
      </c>
    </row>
    <row r="96" spans="2:11">
      <c r="B96" s="1" t="s">
        <v>269</v>
      </c>
      <c r="C96" t="s">
        <v>270</v>
      </c>
      <c r="D96" t="s">
        <v>57</v>
      </c>
      <c r="E96" t="s">
        <v>30</v>
      </c>
      <c r="F96" s="2">
        <v>46298</v>
      </c>
      <c r="G96" s="2">
        <v>46341</v>
      </c>
      <c r="H96" s="6">
        <f>Table1[[#This Row],[Due Date]]-Table1[[#This Row],[Start Date]]</f>
        <v>43</v>
      </c>
      <c r="I96" s="1" t="s">
        <v>9</v>
      </c>
      <c r="J96" s="1" t="b">
        <f ca="1">AND(Table1[[#This Row],[Status]]&lt;&gt;"Completed",Table1[[#This Row],[Due Date]]&lt;TODAY())</f>
        <v>0</v>
      </c>
      <c r="K96" t="s">
        <v>271</v>
      </c>
    </row>
    <row r="97" spans="2:11">
      <c r="B97" s="1" t="s">
        <v>272</v>
      </c>
      <c r="C97" t="s">
        <v>273</v>
      </c>
      <c r="D97" t="s">
        <v>57</v>
      </c>
      <c r="E97" t="s">
        <v>34</v>
      </c>
      <c r="F97" s="2">
        <v>46249</v>
      </c>
      <c r="G97" s="2">
        <v>46283</v>
      </c>
      <c r="H97" s="6">
        <f>Table1[[#This Row],[Due Date]]-Table1[[#This Row],[Start Date]]</f>
        <v>34</v>
      </c>
      <c r="I97" s="1" t="s">
        <v>16</v>
      </c>
      <c r="J97" s="1" t="b">
        <f ca="1">AND(Table1[[#This Row],[Status]]&lt;&gt;"Completed",Table1[[#This Row],[Due Date]]&lt;TODAY())</f>
        <v>0</v>
      </c>
      <c r="K97" t="s">
        <v>274</v>
      </c>
    </row>
    <row r="98" spans="2:11">
      <c r="B98" s="1" t="s">
        <v>275</v>
      </c>
      <c r="C98" t="s">
        <v>276</v>
      </c>
      <c r="D98" t="s">
        <v>57</v>
      </c>
      <c r="E98" t="s">
        <v>15</v>
      </c>
      <c r="F98" s="2">
        <v>46280</v>
      </c>
      <c r="G98" s="2">
        <v>46321</v>
      </c>
      <c r="H98" s="6">
        <f>Table1[[#This Row],[Due Date]]-Table1[[#This Row],[Start Date]]</f>
        <v>41</v>
      </c>
      <c r="I98" s="1" t="s">
        <v>8</v>
      </c>
      <c r="J98" s="1" t="b">
        <f ca="1">AND(Table1[[#This Row],[Status]]&lt;&gt;"Completed",Table1[[#This Row],[Due Date]]&lt;TODAY())</f>
        <v>0</v>
      </c>
      <c r="K98" t="s">
        <v>277</v>
      </c>
    </row>
    <row r="99" spans="2:11">
      <c r="B99" s="1" t="s">
        <v>278</v>
      </c>
      <c r="C99" t="s">
        <v>279</v>
      </c>
      <c r="D99" t="s">
        <v>57</v>
      </c>
      <c r="E99" t="s">
        <v>19</v>
      </c>
      <c r="F99" s="2">
        <v>46254</v>
      </c>
      <c r="G99" s="2">
        <v>46280</v>
      </c>
      <c r="H99" s="6">
        <f>Table1[[#This Row],[Due Date]]-Table1[[#This Row],[Start Date]]</f>
        <v>26</v>
      </c>
      <c r="I99" s="1" t="s">
        <v>16</v>
      </c>
      <c r="J99" s="1" t="b">
        <f ca="1">AND(Table1[[#This Row],[Status]]&lt;&gt;"Completed",Table1[[#This Row],[Due Date]]&lt;TODAY())</f>
        <v>0</v>
      </c>
      <c r="K99" t="s">
        <v>280</v>
      </c>
    </row>
    <row r="100" spans="2:11">
      <c r="B100" s="1" t="s">
        <v>281</v>
      </c>
      <c r="C100" t="s">
        <v>282</v>
      </c>
      <c r="D100" t="s">
        <v>66</v>
      </c>
      <c r="E100" t="s">
        <v>26</v>
      </c>
      <c r="F100" s="2">
        <v>46275</v>
      </c>
      <c r="G100" s="2">
        <v>46319</v>
      </c>
      <c r="H100" s="6">
        <f>Table1[[#This Row],[Due Date]]-Table1[[#This Row],[Start Date]]</f>
        <v>44</v>
      </c>
      <c r="I100" s="1" t="s">
        <v>8</v>
      </c>
      <c r="J100" s="1" t="b">
        <f ca="1">AND(Table1[[#This Row],[Status]]&lt;&gt;"Completed",Table1[[#This Row],[Due Date]]&lt;TODAY())</f>
        <v>0</v>
      </c>
      <c r="K100" t="s">
        <v>283</v>
      </c>
    </row>
    <row r="101" spans="2:11">
      <c r="B101" s="1" t="s">
        <v>284</v>
      </c>
      <c r="C101" t="s">
        <v>285</v>
      </c>
      <c r="D101" t="s">
        <v>66</v>
      </c>
      <c r="E101" t="s">
        <v>30</v>
      </c>
      <c r="F101" s="2">
        <v>46238</v>
      </c>
      <c r="G101" s="2">
        <v>46262</v>
      </c>
      <c r="H101" s="6">
        <f>Table1[[#This Row],[Due Date]]-Table1[[#This Row],[Start Date]]</f>
        <v>24</v>
      </c>
      <c r="I101" s="1" t="s">
        <v>16</v>
      </c>
      <c r="J101" s="1" t="b">
        <f ca="1">AND(Table1[[#This Row],[Status]]&lt;&gt;"Completed",Table1[[#This Row],[Due Date]]&lt;TODAY())</f>
        <v>0</v>
      </c>
      <c r="K101" t="s">
        <v>286</v>
      </c>
    </row>
    <row r="102" spans="2:11">
      <c r="B102" s="1" t="s">
        <v>287</v>
      </c>
      <c r="C102" t="s">
        <v>288</v>
      </c>
      <c r="D102" t="s">
        <v>66</v>
      </c>
      <c r="E102" t="s">
        <v>34</v>
      </c>
      <c r="F102" s="2">
        <v>46296</v>
      </c>
      <c r="G102" s="2">
        <v>46324</v>
      </c>
      <c r="H102" s="6">
        <f>Table1[[#This Row],[Due Date]]-Table1[[#This Row],[Start Date]]</f>
        <v>28</v>
      </c>
      <c r="I102" s="1" t="s">
        <v>9</v>
      </c>
      <c r="J102" s="1" t="b">
        <f ca="1">AND(Table1[[#This Row],[Status]]&lt;&gt;"Completed",Table1[[#This Row],[Due Date]]&lt;TODAY())</f>
        <v>0</v>
      </c>
      <c r="K102" t="s">
        <v>289</v>
      </c>
    </row>
    <row r="103" spans="2:11">
      <c r="B103" s="1" t="s">
        <v>290</v>
      </c>
      <c r="C103" t="s">
        <v>291</v>
      </c>
      <c r="D103" t="s">
        <v>66</v>
      </c>
      <c r="E103" t="s">
        <v>15</v>
      </c>
      <c r="F103" s="2">
        <v>46270</v>
      </c>
      <c r="G103" s="2">
        <v>46305</v>
      </c>
      <c r="H103" s="6">
        <f>Table1[[#This Row],[Due Date]]-Table1[[#This Row],[Start Date]]</f>
        <v>35</v>
      </c>
      <c r="I103" s="1" t="s">
        <v>8</v>
      </c>
      <c r="J103" s="1" t="b">
        <f ca="1">AND(Table1[[#This Row],[Status]]&lt;&gt;"Completed",Table1[[#This Row],[Due Date]]&lt;TODAY())</f>
        <v>0</v>
      </c>
      <c r="K103" t="s">
        <v>292</v>
      </c>
    </row>
    <row r="104" spans="2:11">
      <c r="B104" s="1" t="s">
        <v>293</v>
      </c>
      <c r="C104" t="s">
        <v>294</v>
      </c>
      <c r="D104" t="s">
        <v>66</v>
      </c>
      <c r="E104" t="s">
        <v>19</v>
      </c>
      <c r="F104" s="2">
        <v>46252</v>
      </c>
      <c r="G104" s="2">
        <v>46285</v>
      </c>
      <c r="H104" s="6">
        <f>Table1[[#This Row],[Due Date]]-Table1[[#This Row],[Start Date]]</f>
        <v>33</v>
      </c>
      <c r="I104" s="1" t="s">
        <v>16</v>
      </c>
      <c r="J104" s="1" t="b">
        <f ca="1">AND(Table1[[#This Row],[Status]]&lt;&gt;"Completed",Table1[[#This Row],[Due Date]]&lt;TODAY())</f>
        <v>0</v>
      </c>
      <c r="K104" t="s">
        <v>295</v>
      </c>
    </row>
    <row r="105" spans="2:11">
      <c r="B105" s="1" t="s">
        <v>296</v>
      </c>
      <c r="C105" t="s">
        <v>297</v>
      </c>
      <c r="D105" t="s">
        <v>66</v>
      </c>
      <c r="E105" t="s">
        <v>26</v>
      </c>
      <c r="F105" s="2">
        <v>46299</v>
      </c>
      <c r="G105" s="2">
        <v>46315</v>
      </c>
      <c r="H105" s="6">
        <f>Table1[[#This Row],[Due Date]]-Table1[[#This Row],[Start Date]]</f>
        <v>16</v>
      </c>
      <c r="I105" s="1" t="s">
        <v>9</v>
      </c>
      <c r="J105" s="1" t="b">
        <f ca="1">AND(Table1[[#This Row],[Status]]&lt;&gt;"Completed",Table1[[#This Row],[Due Date]]&lt;TODAY())</f>
        <v>0</v>
      </c>
      <c r="K105" t="s">
        <v>298</v>
      </c>
    </row>
    <row r="106" spans="2:11">
      <c r="B106" s="1" t="s">
        <v>299</v>
      </c>
      <c r="C106" t="s">
        <v>300</v>
      </c>
      <c r="D106" t="s">
        <v>66</v>
      </c>
      <c r="E106" t="s">
        <v>30</v>
      </c>
      <c r="F106" s="2">
        <v>46277</v>
      </c>
      <c r="G106" s="2">
        <v>46323</v>
      </c>
      <c r="H106" s="6">
        <f>Table1[[#This Row],[Due Date]]-Table1[[#This Row],[Start Date]]</f>
        <v>46</v>
      </c>
      <c r="I106" s="1" t="s">
        <v>8</v>
      </c>
      <c r="J106" s="1" t="b">
        <f ca="1">AND(Table1[[#This Row],[Status]]&lt;&gt;"Completed",Table1[[#This Row],[Due Date]]&lt;TODAY())</f>
        <v>0</v>
      </c>
      <c r="K106" t="s">
        <v>301</v>
      </c>
    </row>
    <row r="107" spans="2:11">
      <c r="B107" s="1" t="s">
        <v>302</v>
      </c>
      <c r="C107" t="s">
        <v>303</v>
      </c>
      <c r="D107" t="s">
        <v>40</v>
      </c>
      <c r="E107" t="s">
        <v>34</v>
      </c>
      <c r="F107" s="2">
        <v>46266</v>
      </c>
      <c r="G107" s="2">
        <v>46290</v>
      </c>
      <c r="H107" s="6">
        <f>Table1[[#This Row],[Due Date]]-Table1[[#This Row],[Start Date]]</f>
        <v>24</v>
      </c>
      <c r="I107" s="1" t="s">
        <v>16</v>
      </c>
      <c r="J107" s="1" t="b">
        <f ca="1">AND(Table1[[#This Row],[Status]]&lt;&gt;"Completed",Table1[[#This Row],[Due Date]]&lt;TODAY())</f>
        <v>0</v>
      </c>
      <c r="K107" t="s">
        <v>304</v>
      </c>
    </row>
    <row r="108" spans="2:11">
      <c r="B108" s="1" t="s">
        <v>305</v>
      </c>
      <c r="C108" t="s">
        <v>306</v>
      </c>
      <c r="D108" t="s">
        <v>40</v>
      </c>
      <c r="E108" t="s">
        <v>15</v>
      </c>
      <c r="F108" s="2">
        <v>46285</v>
      </c>
      <c r="G108" s="2">
        <v>46325</v>
      </c>
      <c r="H108" s="6">
        <f>Table1[[#This Row],[Due Date]]-Table1[[#This Row],[Start Date]]</f>
        <v>40</v>
      </c>
      <c r="I108" s="1" t="s">
        <v>8</v>
      </c>
      <c r="J108" s="1" t="b">
        <f ca="1">AND(Table1[[#This Row],[Status]]&lt;&gt;"Completed",Table1[[#This Row],[Due Date]]&lt;TODAY())</f>
        <v>0</v>
      </c>
      <c r="K108" t="s">
        <v>307</v>
      </c>
    </row>
    <row r="109" spans="2:11">
      <c r="B109" s="1" t="s">
        <v>308</v>
      </c>
      <c r="C109" t="s">
        <v>309</v>
      </c>
      <c r="D109" t="s">
        <v>40</v>
      </c>
      <c r="E109" t="s">
        <v>19</v>
      </c>
      <c r="F109" s="2">
        <v>46249</v>
      </c>
      <c r="G109" s="2">
        <v>46280</v>
      </c>
      <c r="H109" s="6">
        <f>Table1[[#This Row],[Due Date]]-Table1[[#This Row],[Start Date]]</f>
        <v>31</v>
      </c>
      <c r="I109" s="1" t="s">
        <v>16</v>
      </c>
      <c r="J109" s="1" t="b">
        <f ca="1">AND(Table1[[#This Row],[Status]]&lt;&gt;"Completed",Table1[[#This Row],[Due Date]]&lt;TODAY())</f>
        <v>0</v>
      </c>
      <c r="K109" t="s">
        <v>310</v>
      </c>
    </row>
    <row r="110" spans="2:11">
      <c r="B110" s="1" t="s">
        <v>311</v>
      </c>
      <c r="C110" t="s">
        <v>312</v>
      </c>
      <c r="D110" t="s">
        <v>40</v>
      </c>
      <c r="E110" t="s">
        <v>26</v>
      </c>
      <c r="F110" s="2">
        <v>46297</v>
      </c>
      <c r="G110" s="2">
        <v>46320</v>
      </c>
      <c r="H110" s="6">
        <f>Table1[[#This Row],[Due Date]]-Table1[[#This Row],[Start Date]]</f>
        <v>23</v>
      </c>
      <c r="I110" s="1" t="s">
        <v>9</v>
      </c>
      <c r="J110" s="1" t="b">
        <f ca="1">AND(Table1[[#This Row],[Status]]&lt;&gt;"Completed",Table1[[#This Row],[Due Date]]&lt;TODAY())</f>
        <v>0</v>
      </c>
      <c r="K110" t="s">
        <v>313</v>
      </c>
    </row>
    <row r="111" spans="2:11">
      <c r="B111" s="1" t="s">
        <v>314</v>
      </c>
      <c r="C111" t="s">
        <v>315</v>
      </c>
      <c r="D111" t="s">
        <v>40</v>
      </c>
      <c r="E111" t="s">
        <v>30</v>
      </c>
      <c r="F111" s="2">
        <v>46270</v>
      </c>
      <c r="G111" s="2">
        <v>46307</v>
      </c>
      <c r="H111" s="6">
        <f>Table1[[#This Row],[Due Date]]-Table1[[#This Row],[Start Date]]</f>
        <v>37</v>
      </c>
      <c r="I111" s="1" t="s">
        <v>8</v>
      </c>
      <c r="J111" s="1" t="b">
        <f ca="1">AND(Table1[[#This Row],[Status]]&lt;&gt;"Completed",Table1[[#This Row],[Due Date]]&lt;TODAY())</f>
        <v>0</v>
      </c>
      <c r="K111" t="s">
        <v>316</v>
      </c>
    </row>
    <row r="112" spans="2:11">
      <c r="B112" s="1" t="s">
        <v>317</v>
      </c>
      <c r="C112" t="s">
        <v>318</v>
      </c>
      <c r="D112" t="s">
        <v>40</v>
      </c>
      <c r="E112" t="s">
        <v>34</v>
      </c>
      <c r="F112" s="2">
        <v>46254</v>
      </c>
      <c r="G112" s="2">
        <v>46290</v>
      </c>
      <c r="H112" s="6">
        <f>Table1[[#This Row],[Due Date]]-Table1[[#This Row],[Start Date]]</f>
        <v>36</v>
      </c>
      <c r="I112" s="1" t="s">
        <v>16</v>
      </c>
      <c r="J112" s="1" t="b">
        <f ca="1">AND(Table1[[#This Row],[Status]]&lt;&gt;"Completed",Table1[[#This Row],[Due Date]]&lt;TODAY())</f>
        <v>0</v>
      </c>
      <c r="K112" t="s">
        <v>319</v>
      </c>
    </row>
    <row r="113" spans="2:11">
      <c r="B113" s="1" t="s">
        <v>320</v>
      </c>
      <c r="C113" t="s">
        <v>321</v>
      </c>
      <c r="D113" t="s">
        <v>65</v>
      </c>
      <c r="E113" t="s">
        <v>15</v>
      </c>
      <c r="F113" s="2">
        <v>46299</v>
      </c>
      <c r="G113" s="2">
        <v>46304</v>
      </c>
      <c r="H113" s="6">
        <f>Table1[[#This Row],[Due Date]]-Table1[[#This Row],[Start Date]]</f>
        <v>5</v>
      </c>
      <c r="I113" s="1" t="s">
        <v>9</v>
      </c>
      <c r="J113" s="1" t="b">
        <f ca="1">AND(Table1[[#This Row],[Status]]&lt;&gt;"Completed",Table1[[#This Row],[Due Date]]&lt;TODAY())</f>
        <v>1</v>
      </c>
      <c r="K113" t="s">
        <v>322</v>
      </c>
    </row>
    <row r="114" spans="2:11">
      <c r="B114" s="1" t="s">
        <v>323</v>
      </c>
      <c r="C114" t="s">
        <v>324</v>
      </c>
      <c r="D114" t="s">
        <v>57</v>
      </c>
      <c r="E114" t="s">
        <v>19</v>
      </c>
      <c r="F114" s="2">
        <v>46302</v>
      </c>
      <c r="G114" s="2">
        <v>46356</v>
      </c>
      <c r="H114" s="6">
        <f>Table1[[#This Row],[Due Date]]-Table1[[#This Row],[Start Date]]</f>
        <v>54</v>
      </c>
      <c r="I114" s="1" t="s">
        <v>8</v>
      </c>
      <c r="J114" s="1" t="b">
        <f ca="1">AND(Table1[[#This Row],[Status]]&lt;&gt;"Completed",Table1[[#This Row],[Due Date]]&lt;TODAY())</f>
        <v>0</v>
      </c>
      <c r="K114" t="s">
        <v>325</v>
      </c>
    </row>
    <row r="115" spans="2:11">
      <c r="B115" s="1" t="s">
        <v>327</v>
      </c>
      <c r="C115" t="s">
        <v>326</v>
      </c>
      <c r="D115" t="s">
        <v>57</v>
      </c>
      <c r="E115" t="s">
        <v>30</v>
      </c>
      <c r="F115" s="2">
        <v>46298</v>
      </c>
      <c r="G115" s="2">
        <v>46310</v>
      </c>
      <c r="H115" s="6">
        <f>Table1[[#This Row],[Due Date]]-Table1[[#This Row],[Start Date]]</f>
        <v>12</v>
      </c>
      <c r="I115" s="1" t="s">
        <v>8</v>
      </c>
      <c r="J115" s="7" t="b">
        <f ca="1">AND(Table1[[#This Row],[Status]]&lt;&gt;"Completed",Table1[[#This Row],[Due Date]]&lt;TODAY())</f>
        <v>0</v>
      </c>
      <c r="K115" t="s">
        <v>328</v>
      </c>
    </row>
    <row r="116" spans="2:11">
      <c r="B116" s="1" t="s">
        <v>329</v>
      </c>
      <c r="C116" t="s">
        <v>67</v>
      </c>
      <c r="D116" s="3" t="s">
        <v>57</v>
      </c>
      <c r="E116" t="s">
        <v>15</v>
      </c>
      <c r="F116" s="2">
        <v>46291</v>
      </c>
      <c r="G116" s="2">
        <v>46325</v>
      </c>
      <c r="H116" s="6">
        <f>Table1[[#This Row],[Due Date]]-Table1[[#This Row],[Start Date]]</f>
        <v>34</v>
      </c>
      <c r="I116" s="1" t="s">
        <v>16</v>
      </c>
      <c r="J116" s="1" t="b">
        <f ca="1">AND(Table1[[#This Row],[Status]]&lt;&gt;"Completed",Table1[[#This Row],[Due Date]]&lt;TODAY())</f>
        <v>0</v>
      </c>
      <c r="K116" t="s">
        <v>51</v>
      </c>
    </row>
    <row r="117" spans="2:11">
      <c r="B117" s="1" t="s">
        <v>330</v>
      </c>
      <c r="C117" t="s">
        <v>53</v>
      </c>
      <c r="D117" s="3" t="s">
        <v>57</v>
      </c>
      <c r="E117" t="s">
        <v>34</v>
      </c>
      <c r="F117" s="2">
        <v>46292</v>
      </c>
      <c r="G117" s="2">
        <v>46302</v>
      </c>
      <c r="H117" s="6">
        <f>Table1[[#This Row],[Due Date]]-Table1[[#This Row],[Start Date]]</f>
        <v>10</v>
      </c>
      <c r="I117" s="1" t="s">
        <v>8</v>
      </c>
      <c r="J117" s="1" t="b">
        <f ca="1">AND(Table1[[#This Row],[Status]]&lt;&gt;"Completed",Table1[[#This Row],[Due Date]]&lt;TODAY())</f>
        <v>1</v>
      </c>
      <c r="K117" t="s">
        <v>54</v>
      </c>
    </row>
    <row r="118" spans="2:11">
      <c r="B118" s="1" t="s">
        <v>331</v>
      </c>
      <c r="C118" t="s">
        <v>56</v>
      </c>
      <c r="D118" t="s">
        <v>57</v>
      </c>
      <c r="E118" t="s">
        <v>34</v>
      </c>
      <c r="F118" s="2">
        <v>46293</v>
      </c>
      <c r="G118" s="2">
        <v>46313</v>
      </c>
      <c r="H118" s="6">
        <f>Table1[[#This Row],[Due Date]]-Table1[[#This Row],[Start Date]]</f>
        <v>20</v>
      </c>
      <c r="I118" s="1" t="s">
        <v>16</v>
      </c>
      <c r="J118" s="1" t="b">
        <f ca="1">AND(Table1[[#This Row],[Status]]&lt;&gt;"Completed",Table1[[#This Row],[Due Date]]&lt;TODAY())</f>
        <v>0</v>
      </c>
      <c r="K118" t="s">
        <v>58</v>
      </c>
    </row>
    <row r="119" spans="2:11">
      <c r="B119" s="1" t="s">
        <v>332</v>
      </c>
      <c r="C119" t="s">
        <v>60</v>
      </c>
      <c r="D119" t="s">
        <v>65</v>
      </c>
      <c r="E119" t="s">
        <v>34</v>
      </c>
      <c r="F119" s="2">
        <v>46294</v>
      </c>
      <c r="G119" s="2">
        <v>46299</v>
      </c>
      <c r="H119" s="6">
        <f>Table1[[#This Row],[Due Date]]-Table1[[#This Row],[Start Date]]</f>
        <v>5</v>
      </c>
      <c r="I119" s="1" t="s">
        <v>9</v>
      </c>
      <c r="J119" s="1" t="b">
        <f ca="1">AND(Table1[[#This Row],[Status]]&lt;&gt;"Completed",Table1[[#This Row],[Due Date]]&lt;TODAY())</f>
        <v>1</v>
      </c>
      <c r="K119" t="s">
        <v>61</v>
      </c>
    </row>
    <row r="120" spans="2:11">
      <c r="F120" s="2"/>
      <c r="G120" s="2"/>
      <c r="H120" s="6"/>
      <c r="J120" s="7"/>
    </row>
    <row r="121" spans="2:11">
      <c r="F121" s="2"/>
      <c r="G121" s="2"/>
      <c r="H121" s="6"/>
      <c r="J121" s="7"/>
    </row>
    <row r="122" spans="2:11">
      <c r="F122" s="2"/>
      <c r="G122" s="2"/>
      <c r="H122" s="6"/>
      <c r="J122" s="7"/>
    </row>
    <row r="123" spans="2:11">
      <c r="F123" s="2"/>
      <c r="G123" s="2"/>
      <c r="H123" s="6"/>
      <c r="J123" s="7"/>
    </row>
    <row r="124" spans="2:11">
      <c r="F124" s="2"/>
      <c r="G124" s="2"/>
      <c r="H124" s="6"/>
      <c r="J124" s="7"/>
    </row>
    <row r="125" spans="2:11">
      <c r="F125" s="2"/>
      <c r="G125" s="2"/>
      <c r="H125" s="6"/>
      <c r="J125" s="7"/>
    </row>
    <row r="126" spans="2:11">
      <c r="F126" s="2"/>
      <c r="G126" s="2"/>
      <c r="H126" s="6"/>
      <c r="J126" s="7"/>
    </row>
    <row r="127" spans="2:11">
      <c r="F127" s="2"/>
      <c r="G127" s="2"/>
      <c r="H127" s="6"/>
      <c r="J127" s="7"/>
    </row>
    <row r="128" spans="2:11">
      <c r="F128" s="2"/>
      <c r="G128" s="2"/>
      <c r="H128" s="6"/>
      <c r="J128" s="7"/>
    </row>
    <row r="129" spans="6:10">
      <c r="F129" s="2"/>
      <c r="G129" s="2"/>
      <c r="H129" s="6"/>
      <c r="J129" s="7"/>
    </row>
    <row r="130" spans="6:10">
      <c r="F130" s="2"/>
      <c r="G130" s="2"/>
      <c r="H130" s="6"/>
      <c r="J130" s="7"/>
    </row>
    <row r="131" spans="6:10">
      <c r="F131" s="2"/>
      <c r="G131" s="2"/>
      <c r="H131" s="6"/>
      <c r="J131" s="7"/>
    </row>
    <row r="132" spans="6:10">
      <c r="F132" s="2"/>
      <c r="G132" s="2"/>
      <c r="H132" s="6"/>
      <c r="J132" s="7"/>
    </row>
    <row r="133" spans="6:10">
      <c r="F133" s="2"/>
      <c r="G133" s="2"/>
      <c r="H133" s="6"/>
      <c r="J133" s="7"/>
    </row>
    <row r="134" spans="6:10">
      <c r="F134" s="2"/>
      <c r="G134" s="2"/>
      <c r="H134" s="6"/>
      <c r="J134" s="7"/>
    </row>
    <row r="135" spans="6:10">
      <c r="F135" s="2"/>
      <c r="G135" s="2"/>
      <c r="H135" s="6"/>
      <c r="J135" s="7"/>
    </row>
    <row r="136" spans="6:10">
      <c r="F136" s="2"/>
      <c r="G136" s="2"/>
      <c r="H136" s="6"/>
      <c r="J136" s="7"/>
    </row>
    <row r="137" spans="6:10">
      <c r="F137" s="2"/>
      <c r="G137" s="2"/>
      <c r="H137" s="6"/>
      <c r="J137" s="7"/>
    </row>
    <row r="138" spans="6:10">
      <c r="F138" s="2"/>
      <c r="G138" s="2"/>
      <c r="H138" s="6"/>
      <c r="J138" s="7"/>
    </row>
    <row r="139" spans="6:10">
      <c r="F139" s="2"/>
      <c r="G139" s="2"/>
      <c r="H139" s="6"/>
      <c r="J139" s="7"/>
    </row>
    <row r="140" spans="6:10">
      <c r="F140" s="2"/>
      <c r="G140" s="2"/>
      <c r="H140" s="6"/>
      <c r="J140" s="7"/>
    </row>
    <row r="141" spans="6:10">
      <c r="F141" s="2"/>
      <c r="G141" s="2"/>
      <c r="H141" s="6"/>
      <c r="J141" s="7"/>
    </row>
    <row r="142" spans="6:10">
      <c r="F142" s="2"/>
      <c r="G142" s="2"/>
      <c r="H142" s="6"/>
      <c r="J142" s="7"/>
    </row>
    <row r="143" spans="6:10">
      <c r="F143" s="2"/>
      <c r="G143" s="2"/>
      <c r="H143" s="6"/>
      <c r="J143" s="7"/>
    </row>
  </sheetData>
  <conditionalFormatting sqref="I15:I143">
    <cfRule type="cellIs" dxfId="3" priority="2" operator="equal">
      <formula>"Not Started"</formula>
    </cfRule>
    <cfRule type="cellIs" dxfId="2" priority="3" operator="equal">
      <formula>"In Progress"</formula>
    </cfRule>
    <cfRule type="cellIs" dxfId="1" priority="4" operator="equal">
      <formula>"Completed"</formula>
    </cfRule>
  </conditionalFormatting>
  <conditionalFormatting sqref="J15:J143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37BD2B2-EB7A-423D-AFAE-C8F243AC622F}">
          <x14:formula1>
            <xm:f>'Support Sheet'!$E$3:$E$7</xm:f>
          </x14:formula1>
          <xm:sqref>E15:E143</xm:sqref>
        </x14:dataValidation>
        <x14:dataValidation type="list" allowBlank="1" showInputMessage="1" showErrorMessage="1" xr:uid="{904E3E03-DC65-485C-8332-4B1A6040FC7C}">
          <x14:formula1>
            <xm:f>'Support Sheet'!$H$3:$H$6</xm:f>
          </x14:formula1>
          <xm:sqref>D15:D143</xm:sqref>
        </x14:dataValidation>
        <x14:dataValidation type="list" allowBlank="1" showInputMessage="1" showErrorMessage="1" xr:uid="{B3E61B6D-B507-446F-BFB8-30F31BE09591}">
          <x14:formula1>
            <xm:f>'Support Sheet'!$B$3:$B$5</xm:f>
          </x14:formula1>
          <xm:sqref>I15:I143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K10"/>
  <sheetViews>
    <sheetView zoomScale="73" zoomScaleNormal="115" workbookViewId="0">
      <selection activeCell="K4" sqref="K4"/>
    </sheetView>
  </sheetViews>
  <sheetFormatPr defaultColWidth="11.19921875" defaultRowHeight="15.6"/>
  <cols>
    <col min="1" max="1" width="3.296875" customWidth="1"/>
    <col min="3" max="3" width="6.19921875" bestFit="1" customWidth="1"/>
    <col min="4" max="4" width="7.796875" customWidth="1"/>
    <col min="5" max="5" width="14.19921875" bestFit="1" customWidth="1"/>
    <col min="6" max="6" width="6.19921875" style="1" bestFit="1" customWidth="1"/>
    <col min="7" max="7" width="7.796875" customWidth="1"/>
    <col min="9" max="9" width="6.19921875" bestFit="1" customWidth="1"/>
    <col min="10" max="10" width="7.796875" customWidth="1"/>
    <col min="11" max="11" width="8" bestFit="1" customWidth="1"/>
  </cols>
  <sheetData>
    <row r="2" spans="2:11">
      <c r="B2" s="5" t="s">
        <v>4</v>
      </c>
      <c r="C2" s="5" t="s">
        <v>68</v>
      </c>
      <c r="E2" s="5" t="s">
        <v>10</v>
      </c>
      <c r="F2" s="5" t="s">
        <v>68</v>
      </c>
      <c r="H2" s="5" t="s">
        <v>70</v>
      </c>
      <c r="I2" s="5" t="s">
        <v>68</v>
      </c>
      <c r="K2" s="5" t="s">
        <v>12</v>
      </c>
    </row>
    <row r="3" spans="2:11">
      <c r="B3" t="s">
        <v>16</v>
      </c>
      <c r="C3" s="1">
        <f>COUNTIF(Table1[Status],'Support Sheet'!B3)</f>
        <v>42</v>
      </c>
      <c r="E3" t="s">
        <v>15</v>
      </c>
      <c r="F3" s="1">
        <f>COUNTIF(Table1[Task Owner], 'Support Sheet'!E3)</f>
        <v>25</v>
      </c>
      <c r="H3" t="s">
        <v>65</v>
      </c>
      <c r="I3" s="1">
        <f>COUNTIF(Table1[Team],'Support Sheet'!H3)</f>
        <v>27</v>
      </c>
      <c r="K3" s="1">
        <f ca="1">COUNTIF(Table1[Overdue?], TRUE)</f>
        <v>13</v>
      </c>
    </row>
    <row r="4" spans="2:11">
      <c r="B4" t="s">
        <v>8</v>
      </c>
      <c r="C4" s="1">
        <f>COUNTIF(Table1[Status],'Support Sheet'!B4)</f>
        <v>40</v>
      </c>
      <c r="E4" t="s">
        <v>19</v>
      </c>
      <c r="F4" s="1">
        <f>COUNTIF(Table1[Task Owner], 'Support Sheet'!E4)</f>
        <v>21</v>
      </c>
      <c r="H4" t="s">
        <v>57</v>
      </c>
      <c r="I4" s="1">
        <f>COUNTIF(Table1[Team],'Support Sheet'!H4)</f>
        <v>32</v>
      </c>
    </row>
    <row r="5" spans="2:11">
      <c r="B5" t="s">
        <v>9</v>
      </c>
      <c r="C5" s="1">
        <f>COUNTIF(Table1[Status],'Support Sheet'!B5)</f>
        <v>23</v>
      </c>
      <c r="E5" t="s">
        <v>26</v>
      </c>
      <c r="F5" s="1">
        <f>COUNTIF(Table1[Task Owner], 'Support Sheet'!E5)</f>
        <v>18</v>
      </c>
      <c r="H5" t="s">
        <v>66</v>
      </c>
      <c r="I5" s="1">
        <f>COUNTIF(Table1[Team],'Support Sheet'!H5)</f>
        <v>25</v>
      </c>
    </row>
    <row r="6" spans="2:11">
      <c r="B6" t="s">
        <v>69</v>
      </c>
      <c r="C6" s="1">
        <f>SUM(C3:C5)</f>
        <v>105</v>
      </c>
      <c r="E6" t="s">
        <v>30</v>
      </c>
      <c r="F6" s="1">
        <f>COUNTIF(Table1[Task Owner], 'Support Sheet'!E6)</f>
        <v>20</v>
      </c>
      <c r="H6" t="s">
        <v>40</v>
      </c>
      <c r="I6" s="1">
        <f>COUNTIF(Table1[Team],'Support Sheet'!H6)</f>
        <v>21</v>
      </c>
    </row>
    <row r="7" spans="2:11">
      <c r="E7" t="s">
        <v>34</v>
      </c>
      <c r="F7" s="1">
        <f>COUNTIF(Table1[Task Owner], 'Support Sheet'!E7)</f>
        <v>21</v>
      </c>
      <c r="I7" s="1"/>
    </row>
    <row r="10" spans="2:11">
      <c r="E1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Zanko Lutfullahpoor Tayene</cp:lastModifiedBy>
  <dcterms:created xsi:type="dcterms:W3CDTF">2025-09-19T00:51:58Z</dcterms:created>
  <dcterms:modified xsi:type="dcterms:W3CDTF">2026-10-10T08:37:40Z</dcterms:modified>
</cp:coreProperties>
</file>